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EF997D-DB59-4F7E-BEDF-8D0055F4088E}" xr6:coauthVersionLast="47" xr6:coauthVersionMax="47" xr10:uidLastSave="{00000000-0000-0000-0000-000000000000}"/>
  <bookViews>
    <workbookView xWindow="-108" yWindow="-108" windowWidth="23256" windowHeight="12456" tabRatio="917" firstSheet="3" activeTab="7" xr2:uid="{D296DD49-6BAA-4A08-92EF-E02D42A57940}"/>
  </bookViews>
  <sheets>
    <sheet name="COVER PAGE" sheetId="1" r:id="rId1"/>
    <sheet name="COMPANY OVERVIEW" sheetId="2" r:id="rId2"/>
    <sheet name="ASSUMPTIONS" sheetId="3" r:id="rId3"/>
    <sheet name="CUSTOMER ACQUISITION &amp; REVENUE" sheetId="4" r:id="rId4"/>
    <sheet name="COST BUILD" sheetId="5" r:id="rId5"/>
    <sheet name="MONTHLY P&amp;L" sheetId="6" r:id="rId6"/>
    <sheet name="CFS &amp; SOFP" sheetId="7" r:id="rId7"/>
    <sheet name="RUNWAY BURN &amp; BREAKEVEN" sheetId="9" r:id="rId8"/>
    <sheet name="CAP TABLE &amp; INVESTOR RETURNS" sheetId="10" r:id="rId9"/>
    <sheet name="DASHBOARD" sheetId="11" r:id="rId10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1" l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C4" i="11"/>
  <c r="C32" i="10"/>
  <c r="C31" i="10"/>
  <c r="C30" i="10"/>
  <c r="D7" i="10"/>
  <c r="D6" i="10"/>
  <c r="G5" i="9"/>
  <c r="H5" i="9"/>
  <c r="I5" i="9" s="1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W5" i="9" s="1"/>
  <c r="X5" i="9" s="1"/>
  <c r="Y5" i="9" s="1"/>
  <c r="Z5" i="9" s="1"/>
  <c r="AA5" i="9" s="1"/>
  <c r="D40" i="7"/>
  <c r="E40" i="7" s="1"/>
  <c r="F40" i="7" s="1"/>
  <c r="G40" i="7" s="1"/>
  <c r="H40" i="7" s="1"/>
  <c r="I40" i="7" s="1"/>
  <c r="J40" i="7" s="1"/>
  <c r="K40" i="7" s="1"/>
  <c r="L40" i="7" s="1"/>
  <c r="M40" i="7" s="1"/>
  <c r="N40" i="7" s="1"/>
  <c r="O40" i="7" s="1"/>
  <c r="P40" i="7" s="1"/>
  <c r="Q40" i="7" s="1"/>
  <c r="R40" i="7" s="1"/>
  <c r="S40" i="7" s="1"/>
  <c r="T40" i="7" s="1"/>
  <c r="U40" i="7" s="1"/>
  <c r="V40" i="7" s="1"/>
  <c r="W40" i="7" s="1"/>
  <c r="X40" i="7" s="1"/>
  <c r="Y40" i="7" s="1"/>
  <c r="Z40" i="7" s="1"/>
  <c r="AA40" i="7" s="1"/>
  <c r="AB40" i="7" s="1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3" i="7"/>
  <c r="D19" i="7"/>
  <c r="D20" i="7" s="1"/>
  <c r="C21" i="10" l="1"/>
  <c r="D21" i="10" s="1"/>
  <c r="E21" i="10" s="1"/>
  <c r="C20" i="10"/>
  <c r="D20" i="10" s="1"/>
  <c r="C19" i="10"/>
  <c r="D19" i="10" s="1"/>
  <c r="E19" i="10" s="1"/>
  <c r="C18" i="10"/>
  <c r="D18" i="10" s="1"/>
  <c r="E18" i="10" s="1"/>
  <c r="H5" i="7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G5" i="7"/>
  <c r="H5" i="6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G5" i="6"/>
  <c r="D25" i="5"/>
  <c r="D24" i="5"/>
  <c r="D23" i="5"/>
  <c r="D20" i="5"/>
  <c r="D24" i="6" s="1"/>
  <c r="D19" i="5"/>
  <c r="D18" i="5"/>
  <c r="D17" i="5"/>
  <c r="D16" i="5"/>
  <c r="D12" i="5"/>
  <c r="D11" i="5"/>
  <c r="D10" i="5"/>
  <c r="D9" i="5"/>
  <c r="D13" i="5" s="1"/>
  <c r="D23" i="6" s="1"/>
  <c r="G5" i="5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E14" i="4"/>
  <c r="F14" i="4" s="1"/>
  <c r="G14" i="4" s="1"/>
  <c r="D29" i="4"/>
  <c r="D28" i="4"/>
  <c r="D30" i="4" s="1"/>
  <c r="D24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D14" i="4"/>
  <c r="D11" i="4"/>
  <c r="D10" i="4"/>
  <c r="D9" i="4"/>
  <c r="G5" i="4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C32" i="3"/>
  <c r="C34" i="3"/>
  <c r="D10" i="10" s="1"/>
  <c r="F16" i="3"/>
  <c r="F15" i="3"/>
  <c r="T16" i="6" s="1"/>
  <c r="F14" i="3"/>
  <c r="C24" i="3" s="1"/>
  <c r="E24" i="4" s="1"/>
  <c r="F24" i="4" s="1"/>
  <c r="G24" i="4" s="1"/>
  <c r="F13" i="3"/>
  <c r="F12" i="3"/>
  <c r="F11" i="3"/>
  <c r="C22" i="3" s="1"/>
  <c r="E10" i="4" s="1"/>
  <c r="F10" i="3"/>
  <c r="C26" i="3" s="1"/>
  <c r="F9" i="3"/>
  <c r="C25" i="3" s="1"/>
  <c r="E23" i="5" s="1"/>
  <c r="E20" i="10" l="1"/>
  <c r="S11" i="11" s="1"/>
  <c r="M11" i="11"/>
  <c r="D26" i="5"/>
  <c r="D27" i="5" s="1"/>
  <c r="D16" i="7"/>
  <c r="D17" i="7" s="1"/>
  <c r="C16" i="9"/>
  <c r="C17" i="9" s="1"/>
  <c r="D25" i="6"/>
  <c r="D20" i="4"/>
  <c r="E23" i="11"/>
  <c r="D19" i="4"/>
  <c r="D21" i="4" s="1"/>
  <c r="D33" i="4" s="1"/>
  <c r="D30" i="9" s="1"/>
  <c r="D16" i="4"/>
  <c r="E22" i="11"/>
  <c r="C33" i="3"/>
  <c r="D9" i="10" s="1"/>
  <c r="D8" i="10"/>
  <c r="N16" i="6"/>
  <c r="O16" i="6"/>
  <c r="E11" i="5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W16" i="6"/>
  <c r="V16" i="6"/>
  <c r="E29" i="4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X29" i="4" s="1"/>
  <c r="Y29" i="4" s="1"/>
  <c r="Z29" i="4" s="1"/>
  <c r="AA29" i="4" s="1"/>
  <c r="F16" i="6"/>
  <c r="E19" i="5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G16" i="6"/>
  <c r="F23" i="11"/>
  <c r="E20" i="4"/>
  <c r="F10" i="4"/>
  <c r="F23" i="5"/>
  <c r="G23" i="5" s="1"/>
  <c r="E9" i="4"/>
  <c r="E28" i="4"/>
  <c r="E12" i="5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E24" i="5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D16" i="6"/>
  <c r="E16" i="6"/>
  <c r="M16" i="6"/>
  <c r="U16" i="6"/>
  <c r="H16" i="6"/>
  <c r="P16" i="6"/>
  <c r="X16" i="6"/>
  <c r="I16" i="6"/>
  <c r="Q16" i="6"/>
  <c r="Y16" i="6"/>
  <c r="E9" i="5"/>
  <c r="D15" i="6"/>
  <c r="J16" i="6"/>
  <c r="R16" i="6"/>
  <c r="Z16" i="6"/>
  <c r="E10" i="5"/>
  <c r="F10" i="5" s="1"/>
  <c r="G10" i="5" s="1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E16" i="5"/>
  <c r="K16" i="6"/>
  <c r="S16" i="6"/>
  <c r="AA16" i="6"/>
  <c r="E17" i="5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L16" i="6"/>
  <c r="H23" i="5"/>
  <c r="H24" i="4"/>
  <c r="H14" i="4"/>
  <c r="D29" i="6" l="1"/>
  <c r="D28" i="5"/>
  <c r="D29" i="5" s="1"/>
  <c r="D32" i="7" s="1"/>
  <c r="D25" i="4"/>
  <c r="D34" i="4" s="1"/>
  <c r="D7" i="6" s="1"/>
  <c r="D8" i="6"/>
  <c r="D17" i="6"/>
  <c r="AB16" i="6"/>
  <c r="D18" i="6"/>
  <c r="E25" i="5"/>
  <c r="E26" i="5" s="1"/>
  <c r="F25" i="5"/>
  <c r="G25" i="5"/>
  <c r="G16" i="7" s="1"/>
  <c r="G17" i="7" s="1"/>
  <c r="D25" i="9"/>
  <c r="F22" i="11"/>
  <c r="E15" i="6"/>
  <c r="E19" i="4"/>
  <c r="E21" i="4" s="1"/>
  <c r="E11" i="4"/>
  <c r="E16" i="4" s="1"/>
  <c r="F9" i="4"/>
  <c r="F28" i="4"/>
  <c r="E30" i="4"/>
  <c r="E13" i="5"/>
  <c r="E23" i="6" s="1"/>
  <c r="F9" i="5"/>
  <c r="F16" i="7"/>
  <c r="F17" i="7" s="1"/>
  <c r="E20" i="5"/>
  <c r="E24" i="6" s="1"/>
  <c r="F16" i="5"/>
  <c r="G10" i="4"/>
  <c r="G23" i="11"/>
  <c r="F20" i="4"/>
  <c r="H25" i="5"/>
  <c r="H16" i="7" s="1"/>
  <c r="H17" i="7" s="1"/>
  <c r="I23" i="5"/>
  <c r="I24" i="4"/>
  <c r="I14" i="4"/>
  <c r="D28" i="9" l="1"/>
  <c r="D10" i="7"/>
  <c r="D10" i="6"/>
  <c r="D11" i="7"/>
  <c r="D29" i="7"/>
  <c r="D24" i="9"/>
  <c r="D26" i="9" s="1"/>
  <c r="D29" i="9" s="1"/>
  <c r="D31" i="9" s="1"/>
  <c r="E19" i="11"/>
  <c r="D12" i="7"/>
  <c r="D30" i="7"/>
  <c r="D13" i="7"/>
  <c r="D36" i="7"/>
  <c r="D37" i="7" s="1"/>
  <c r="F26" i="5"/>
  <c r="E16" i="7"/>
  <c r="E17" i="7" s="1"/>
  <c r="F27" i="5"/>
  <c r="G26" i="5"/>
  <c r="G9" i="4"/>
  <c r="G22" i="11"/>
  <c r="F19" i="4"/>
  <c r="F21" i="4" s="1"/>
  <c r="F11" i="4"/>
  <c r="F16" i="4" s="1"/>
  <c r="F15" i="6"/>
  <c r="H10" i="4"/>
  <c r="H23" i="11"/>
  <c r="G20" i="4"/>
  <c r="G9" i="5"/>
  <c r="F13" i="5"/>
  <c r="F23" i="6" s="1"/>
  <c r="E17" i="6"/>
  <c r="E18" i="6" s="1"/>
  <c r="E8" i="6"/>
  <c r="E25" i="4"/>
  <c r="E34" i="4" s="1"/>
  <c r="E7" i="6" s="1"/>
  <c r="E33" i="4"/>
  <c r="E30" i="9" s="1"/>
  <c r="E25" i="6"/>
  <c r="E27" i="5"/>
  <c r="G16" i="5"/>
  <c r="F20" i="5"/>
  <c r="F24" i="6" s="1"/>
  <c r="G28" i="4"/>
  <c r="F30" i="4"/>
  <c r="I25" i="5"/>
  <c r="I16" i="7" s="1"/>
  <c r="I17" i="7" s="1"/>
  <c r="J23" i="5"/>
  <c r="G27" i="5"/>
  <c r="H26" i="5"/>
  <c r="J24" i="4"/>
  <c r="J14" i="4"/>
  <c r="D19" i="6" l="1"/>
  <c r="D11" i="6"/>
  <c r="E28" i="5"/>
  <c r="E29" i="5" s="1"/>
  <c r="E32" i="7" s="1"/>
  <c r="E29" i="6"/>
  <c r="E25" i="9"/>
  <c r="E30" i="7"/>
  <c r="E13" i="7"/>
  <c r="E36" i="7"/>
  <c r="E37" i="7" s="1"/>
  <c r="E12" i="7"/>
  <c r="F33" i="4"/>
  <c r="F30" i="9" s="1"/>
  <c r="F8" i="6"/>
  <c r="F17" i="6"/>
  <c r="F18" i="6" s="1"/>
  <c r="F25" i="4"/>
  <c r="F34" i="4" s="1"/>
  <c r="F7" i="6" s="1"/>
  <c r="G30" i="4"/>
  <c r="H28" i="4"/>
  <c r="H9" i="4"/>
  <c r="H22" i="11"/>
  <c r="G11" i="4"/>
  <c r="G16" i="4" s="1"/>
  <c r="G19" i="4"/>
  <c r="G21" i="4" s="1"/>
  <c r="G15" i="6"/>
  <c r="I10" i="4"/>
  <c r="I23" i="11"/>
  <c r="H20" i="4"/>
  <c r="G29" i="6"/>
  <c r="G10" i="7" s="1"/>
  <c r="F25" i="6"/>
  <c r="H9" i="5"/>
  <c r="G13" i="5"/>
  <c r="G23" i="6" s="1"/>
  <c r="G20" i="5"/>
  <c r="G24" i="6" s="1"/>
  <c r="H16" i="5"/>
  <c r="E24" i="9"/>
  <c r="F19" i="11"/>
  <c r="E11" i="7"/>
  <c r="E29" i="7"/>
  <c r="E10" i="6"/>
  <c r="E11" i="6" s="1"/>
  <c r="F29" i="6"/>
  <c r="F10" i="7" s="1"/>
  <c r="I26" i="5"/>
  <c r="H27" i="5"/>
  <c r="J25" i="5"/>
  <c r="J16" i="7" s="1"/>
  <c r="J17" i="7" s="1"/>
  <c r="K23" i="5"/>
  <c r="K24" i="4"/>
  <c r="K14" i="4"/>
  <c r="D27" i="6" l="1"/>
  <c r="D20" i="6"/>
  <c r="F28" i="5"/>
  <c r="E26" i="9"/>
  <c r="I16" i="5"/>
  <c r="H20" i="5"/>
  <c r="H24" i="6" s="1"/>
  <c r="I9" i="4"/>
  <c r="I22" i="11"/>
  <c r="H11" i="4"/>
  <c r="H16" i="4" s="1"/>
  <c r="H15" i="6"/>
  <c r="H19" i="4"/>
  <c r="H21" i="4" s="1"/>
  <c r="H30" i="4"/>
  <c r="I28" i="4"/>
  <c r="G28" i="9"/>
  <c r="G25" i="6"/>
  <c r="J10" i="4"/>
  <c r="J23" i="11"/>
  <c r="I20" i="4"/>
  <c r="I9" i="5"/>
  <c r="H13" i="5"/>
  <c r="H23" i="6" s="1"/>
  <c r="G19" i="11"/>
  <c r="F24" i="9"/>
  <c r="F29" i="7"/>
  <c r="F11" i="7"/>
  <c r="F10" i="6"/>
  <c r="F11" i="6" s="1"/>
  <c r="E10" i="7"/>
  <c r="E28" i="9"/>
  <c r="H29" i="6"/>
  <c r="H10" i="7" s="1"/>
  <c r="F28" i="9"/>
  <c r="G33" i="4"/>
  <c r="G30" i="9" s="1"/>
  <c r="G17" i="6"/>
  <c r="G18" i="6" s="1"/>
  <c r="G8" i="6"/>
  <c r="G25" i="4"/>
  <c r="G34" i="4" s="1"/>
  <c r="G7" i="6" s="1"/>
  <c r="F12" i="7"/>
  <c r="F36" i="7"/>
  <c r="F37" i="7" s="1"/>
  <c r="F13" i="7"/>
  <c r="F30" i="7"/>
  <c r="F25" i="9"/>
  <c r="E19" i="6"/>
  <c r="K25" i="5"/>
  <c r="K16" i="7" s="1"/>
  <c r="K17" i="7" s="1"/>
  <c r="L23" i="5"/>
  <c r="J26" i="5"/>
  <c r="I27" i="5"/>
  <c r="I29" i="6" s="1"/>
  <c r="I10" i="7" s="1"/>
  <c r="L24" i="4"/>
  <c r="L14" i="4"/>
  <c r="D28" i="6" l="1"/>
  <c r="D30" i="6"/>
  <c r="D32" i="6" s="1"/>
  <c r="D33" i="6" s="1"/>
  <c r="D11" i="9"/>
  <c r="D10" i="9"/>
  <c r="E20" i="11"/>
  <c r="F19" i="6"/>
  <c r="E29" i="9"/>
  <c r="E31" i="9" s="1"/>
  <c r="F26" i="9"/>
  <c r="F29" i="9" s="1"/>
  <c r="F31" i="9" s="1"/>
  <c r="F29" i="5"/>
  <c r="F32" i="7" s="1"/>
  <c r="G28" i="5"/>
  <c r="G12" i="7"/>
  <c r="G36" i="7"/>
  <c r="G37" i="7" s="1"/>
  <c r="G13" i="7"/>
  <c r="G25" i="9"/>
  <c r="G30" i="7"/>
  <c r="J9" i="5"/>
  <c r="I13" i="5"/>
  <c r="I23" i="6" s="1"/>
  <c r="J28" i="4"/>
  <c r="I30" i="4"/>
  <c r="J9" i="4"/>
  <c r="J22" i="11"/>
  <c r="I15" i="6"/>
  <c r="I19" i="4"/>
  <c r="I21" i="4" s="1"/>
  <c r="I11" i="4"/>
  <c r="I16" i="4" s="1"/>
  <c r="G10" i="6"/>
  <c r="G11" i="6" s="1"/>
  <c r="H19" i="11"/>
  <c r="G24" i="9"/>
  <c r="G29" i="7"/>
  <c r="G11" i="7"/>
  <c r="E20" i="6"/>
  <c r="E27" i="6"/>
  <c r="H28" i="9"/>
  <c r="H25" i="6"/>
  <c r="J16" i="5"/>
  <c r="I20" i="5"/>
  <c r="I24" i="6" s="1"/>
  <c r="K10" i="4"/>
  <c r="K23" i="11"/>
  <c r="J20" i="4"/>
  <c r="H8" i="6"/>
  <c r="H17" i="6"/>
  <c r="H18" i="6" s="1"/>
  <c r="H33" i="4"/>
  <c r="H30" i="9" s="1"/>
  <c r="H25" i="4"/>
  <c r="H34" i="4" s="1"/>
  <c r="H7" i="6" s="1"/>
  <c r="K26" i="5"/>
  <c r="J27" i="5"/>
  <c r="J29" i="6" s="1"/>
  <c r="J10" i="7" s="1"/>
  <c r="M23" i="5"/>
  <c r="L25" i="5"/>
  <c r="L16" i="7" s="1"/>
  <c r="L17" i="7" s="1"/>
  <c r="M24" i="4"/>
  <c r="M14" i="4"/>
  <c r="D9" i="7" l="1"/>
  <c r="D14" i="7" s="1"/>
  <c r="D22" i="7" s="1"/>
  <c r="D24" i="7" s="1"/>
  <c r="D41" i="7"/>
  <c r="D42" i="7" s="1"/>
  <c r="D44" i="7" s="1"/>
  <c r="F27" i="6"/>
  <c r="F20" i="6"/>
  <c r="G29" i="5"/>
  <c r="G32" i="7" s="1"/>
  <c r="H28" i="5"/>
  <c r="I33" i="4"/>
  <c r="I30" i="9" s="1"/>
  <c r="I8" i="6"/>
  <c r="I17" i="6"/>
  <c r="I18" i="6" s="1"/>
  <c r="I25" i="4"/>
  <c r="I34" i="4" s="1"/>
  <c r="I7" i="6" s="1"/>
  <c r="J13" i="5"/>
  <c r="J23" i="6" s="1"/>
  <c r="K9" i="5"/>
  <c r="J20" i="5"/>
  <c r="J24" i="6" s="1"/>
  <c r="K16" i="5"/>
  <c r="H36" i="7"/>
  <c r="H37" i="7" s="1"/>
  <c r="H13" i="7"/>
  <c r="H25" i="9"/>
  <c r="H12" i="7"/>
  <c r="H30" i="7"/>
  <c r="I28" i="9"/>
  <c r="I25" i="6"/>
  <c r="G20" i="11"/>
  <c r="F11" i="9"/>
  <c r="F28" i="6"/>
  <c r="F30" i="6"/>
  <c r="F10" i="9"/>
  <c r="G26" i="9"/>
  <c r="G29" i="9" s="1"/>
  <c r="G31" i="9" s="1"/>
  <c r="K9" i="4"/>
  <c r="K22" i="11"/>
  <c r="J15" i="6"/>
  <c r="J19" i="4"/>
  <c r="J21" i="4" s="1"/>
  <c r="J11" i="4"/>
  <c r="J16" i="4" s="1"/>
  <c r="L10" i="4"/>
  <c r="L23" i="11"/>
  <c r="K20" i="4"/>
  <c r="H10" i="6"/>
  <c r="H11" i="6" s="1"/>
  <c r="I19" i="11"/>
  <c r="H29" i="7"/>
  <c r="H24" i="9"/>
  <c r="H11" i="7"/>
  <c r="F20" i="11"/>
  <c r="E11" i="9"/>
  <c r="E28" i="6"/>
  <c r="E30" i="6"/>
  <c r="E10" i="9"/>
  <c r="K28" i="4"/>
  <c r="J30" i="4"/>
  <c r="G19" i="6"/>
  <c r="N23" i="5"/>
  <c r="M25" i="5"/>
  <c r="M16" i="7" s="1"/>
  <c r="M17" i="7" s="1"/>
  <c r="L26" i="5"/>
  <c r="K27" i="5"/>
  <c r="N24" i="4"/>
  <c r="N14" i="4"/>
  <c r="E23" i="7" l="1"/>
  <c r="D28" i="7"/>
  <c r="D9" i="9"/>
  <c r="D13" i="9" s="1"/>
  <c r="S9" i="11" s="1"/>
  <c r="I28" i="5"/>
  <c r="H29" i="5"/>
  <c r="H32" i="7" s="1"/>
  <c r="J28" i="9"/>
  <c r="J25" i="6"/>
  <c r="I10" i="6"/>
  <c r="I11" i="6" s="1"/>
  <c r="I29" i="7"/>
  <c r="J19" i="11"/>
  <c r="I24" i="9"/>
  <c r="I11" i="7"/>
  <c r="J8" i="6"/>
  <c r="J17" i="6"/>
  <c r="J18" i="6" s="1"/>
  <c r="J33" i="4"/>
  <c r="J30" i="9" s="1"/>
  <c r="J25" i="4"/>
  <c r="J34" i="4" s="1"/>
  <c r="J7" i="6" s="1"/>
  <c r="G20" i="6"/>
  <c r="G27" i="6"/>
  <c r="K20" i="5"/>
  <c r="K24" i="6" s="1"/>
  <c r="L16" i="5"/>
  <c r="I13" i="7"/>
  <c r="I25" i="9"/>
  <c r="I30" i="7"/>
  <c r="I36" i="7"/>
  <c r="I37" i="7" s="1"/>
  <c r="I12" i="7"/>
  <c r="L28" i="4"/>
  <c r="K30" i="4"/>
  <c r="K29" i="6"/>
  <c r="K10" i="7" s="1"/>
  <c r="L9" i="4"/>
  <c r="L22" i="11"/>
  <c r="K15" i="6"/>
  <c r="K19" i="4"/>
  <c r="K21" i="4" s="1"/>
  <c r="K11" i="4"/>
  <c r="K16" i="4" s="1"/>
  <c r="F32" i="6"/>
  <c r="F33" i="6" s="1"/>
  <c r="F9" i="7" s="1"/>
  <c r="F14" i="7" s="1"/>
  <c r="F22" i="7" s="1"/>
  <c r="H26" i="9"/>
  <c r="H29" i="9" s="1"/>
  <c r="H31" i="9" s="1"/>
  <c r="H19" i="6"/>
  <c r="I19" i="6"/>
  <c r="E32" i="6"/>
  <c r="E33" i="6" s="1"/>
  <c r="M10" i="4"/>
  <c r="M23" i="11"/>
  <c r="L20" i="4"/>
  <c r="K13" i="5"/>
  <c r="K23" i="6" s="1"/>
  <c r="L9" i="5"/>
  <c r="M26" i="5"/>
  <c r="L27" i="5"/>
  <c r="N25" i="5"/>
  <c r="N16" i="7" s="1"/>
  <c r="N17" i="7" s="1"/>
  <c r="O23" i="5"/>
  <c r="O24" i="4"/>
  <c r="O14" i="4"/>
  <c r="E21" i="11" l="1"/>
  <c r="D31" i="7"/>
  <c r="D33" i="7" s="1"/>
  <c r="D45" i="7" s="1"/>
  <c r="I26" i="9"/>
  <c r="I29" i="9" s="1"/>
  <c r="I31" i="9" s="1"/>
  <c r="I29" i="5"/>
  <c r="I32" i="7" s="1"/>
  <c r="J28" i="5"/>
  <c r="E9" i="7"/>
  <c r="E14" i="7" s="1"/>
  <c r="E22" i="7" s="1"/>
  <c r="E24" i="7" s="1"/>
  <c r="E41" i="7"/>
  <c r="J29" i="7"/>
  <c r="K19" i="11"/>
  <c r="J24" i="9"/>
  <c r="J11" i="7"/>
  <c r="J10" i="6"/>
  <c r="J11" i="6" s="1"/>
  <c r="K8" i="6"/>
  <c r="K17" i="6"/>
  <c r="K18" i="6" s="1"/>
  <c r="K33" i="4"/>
  <c r="K30" i="9" s="1"/>
  <c r="K25" i="4"/>
  <c r="K34" i="4" s="1"/>
  <c r="K7" i="6" s="1"/>
  <c r="I20" i="6"/>
  <c r="I27" i="6"/>
  <c r="H20" i="6"/>
  <c r="H27" i="6"/>
  <c r="L30" i="4"/>
  <c r="M28" i="4"/>
  <c r="L13" i="5"/>
  <c r="L23" i="6" s="1"/>
  <c r="M9" i="5"/>
  <c r="M9" i="4"/>
  <c r="M22" i="11"/>
  <c r="L19" i="4"/>
  <c r="L21" i="4" s="1"/>
  <c r="L11" i="4"/>
  <c r="L16" i="4" s="1"/>
  <c r="L15" i="6"/>
  <c r="H20" i="11"/>
  <c r="G11" i="9"/>
  <c r="G30" i="6"/>
  <c r="G28" i="6"/>
  <c r="G10" i="9"/>
  <c r="L29" i="6"/>
  <c r="L10" i="7" s="1"/>
  <c r="N10" i="4"/>
  <c r="N23" i="11"/>
  <c r="M20" i="4"/>
  <c r="M16" i="5"/>
  <c r="L20" i="5"/>
  <c r="L24" i="6" s="1"/>
  <c r="J30" i="7"/>
  <c r="J13" i="7"/>
  <c r="J25" i="9"/>
  <c r="J36" i="7"/>
  <c r="J37" i="7" s="1"/>
  <c r="J12" i="7"/>
  <c r="K28" i="9"/>
  <c r="K25" i="6"/>
  <c r="O25" i="5"/>
  <c r="O16" i="7" s="1"/>
  <c r="O17" i="7" s="1"/>
  <c r="P23" i="5"/>
  <c r="M27" i="5"/>
  <c r="N26" i="5"/>
  <c r="P24" i="4"/>
  <c r="P14" i="4"/>
  <c r="J19" i="6" l="1"/>
  <c r="J26" i="9"/>
  <c r="J29" i="9" s="1"/>
  <c r="J31" i="9" s="1"/>
  <c r="J29" i="5"/>
  <c r="J32" i="7" s="1"/>
  <c r="K28" i="5"/>
  <c r="M29" i="6"/>
  <c r="M10" i="7" s="1"/>
  <c r="M13" i="5"/>
  <c r="M23" i="6" s="1"/>
  <c r="N9" i="5"/>
  <c r="N9" i="4"/>
  <c r="N22" i="11"/>
  <c r="M15" i="6"/>
  <c r="M11" i="4"/>
  <c r="M16" i="4" s="1"/>
  <c r="M19" i="4"/>
  <c r="M21" i="4" s="1"/>
  <c r="O10" i="4"/>
  <c r="O23" i="11"/>
  <c r="N20" i="4"/>
  <c r="I11" i="9"/>
  <c r="J20" i="11"/>
  <c r="I28" i="6"/>
  <c r="I30" i="6"/>
  <c r="I10" i="9"/>
  <c r="L28" i="9"/>
  <c r="L25" i="6"/>
  <c r="M30" i="4"/>
  <c r="N28" i="4"/>
  <c r="E42" i="7"/>
  <c r="E44" i="7" s="1"/>
  <c r="F41" i="7"/>
  <c r="J20" i="6"/>
  <c r="J27" i="6"/>
  <c r="N16" i="5"/>
  <c r="M20" i="5"/>
  <c r="M24" i="6" s="1"/>
  <c r="L17" i="6"/>
  <c r="L18" i="6" s="1"/>
  <c r="L33" i="4"/>
  <c r="L30" i="9" s="1"/>
  <c r="L8" i="6"/>
  <c r="L25" i="4"/>
  <c r="L34" i="4" s="1"/>
  <c r="L7" i="6" s="1"/>
  <c r="K30" i="7"/>
  <c r="K25" i="9"/>
  <c r="K36" i="7"/>
  <c r="K37" i="7" s="1"/>
  <c r="K12" i="7"/>
  <c r="K13" i="7"/>
  <c r="G32" i="6"/>
  <c r="G33" i="6" s="1"/>
  <c r="K10" i="6"/>
  <c r="K11" i="6" s="1"/>
  <c r="K29" i="7"/>
  <c r="K24" i="9"/>
  <c r="K11" i="7"/>
  <c r="L19" i="11"/>
  <c r="H11" i="9"/>
  <c r="I20" i="11"/>
  <c r="H28" i="6"/>
  <c r="H30" i="6"/>
  <c r="H10" i="9"/>
  <c r="E9" i="9"/>
  <c r="E28" i="7"/>
  <c r="F23" i="7"/>
  <c r="F24" i="7" s="1"/>
  <c r="N27" i="5"/>
  <c r="N29" i="6" s="1"/>
  <c r="N10" i="7" s="1"/>
  <c r="O26" i="5"/>
  <c r="P25" i="5"/>
  <c r="P16" i="7" s="1"/>
  <c r="P17" i="7" s="1"/>
  <c r="Q23" i="5"/>
  <c r="Q24" i="4"/>
  <c r="Q14" i="4"/>
  <c r="K19" i="6" l="1"/>
  <c r="K27" i="6" s="1"/>
  <c r="K26" i="9"/>
  <c r="K29" i="9" s="1"/>
  <c r="K31" i="9" s="1"/>
  <c r="K29" i="5"/>
  <c r="K32" i="7" s="1"/>
  <c r="L28" i="5"/>
  <c r="G9" i="7"/>
  <c r="G14" i="7" s="1"/>
  <c r="G22" i="7" s="1"/>
  <c r="N20" i="5"/>
  <c r="N24" i="6" s="1"/>
  <c r="O16" i="5"/>
  <c r="H32" i="6"/>
  <c r="H33" i="6" s="1"/>
  <c r="O9" i="4"/>
  <c r="O22" i="11"/>
  <c r="N11" i="4"/>
  <c r="N16" i="4" s="1"/>
  <c r="N15" i="6"/>
  <c r="N19" i="4"/>
  <c r="N21" i="4" s="1"/>
  <c r="E13" i="9"/>
  <c r="E20" i="9"/>
  <c r="I32" i="6"/>
  <c r="I33" i="6" s="1"/>
  <c r="I9" i="7" s="1"/>
  <c r="I14" i="7" s="1"/>
  <c r="I22" i="7" s="1"/>
  <c r="P10" i="4"/>
  <c r="P23" i="11"/>
  <c r="O20" i="4"/>
  <c r="M28" i="9"/>
  <c r="M25" i="6"/>
  <c r="J11" i="9"/>
  <c r="K20" i="11"/>
  <c r="J30" i="6"/>
  <c r="J28" i="6"/>
  <c r="J10" i="9"/>
  <c r="L24" i="9"/>
  <c r="L11" i="7"/>
  <c r="M19" i="11"/>
  <c r="L29" i="7"/>
  <c r="L10" i="6"/>
  <c r="L11" i="6" s="1"/>
  <c r="L30" i="7"/>
  <c r="L25" i="9"/>
  <c r="L36" i="7"/>
  <c r="L37" i="7" s="1"/>
  <c r="L12" i="7"/>
  <c r="L13" i="7"/>
  <c r="G41" i="7"/>
  <c r="F42" i="7"/>
  <c r="F44" i="7" s="1"/>
  <c r="N13" i="5"/>
  <c r="N23" i="6" s="1"/>
  <c r="O9" i="5"/>
  <c r="F9" i="9"/>
  <c r="G23" i="7"/>
  <c r="F28" i="7"/>
  <c r="M17" i="6"/>
  <c r="M18" i="6" s="1"/>
  <c r="M33" i="4"/>
  <c r="M30" i="9" s="1"/>
  <c r="M8" i="6"/>
  <c r="M25" i="4"/>
  <c r="M34" i="4" s="1"/>
  <c r="M7" i="6" s="1"/>
  <c r="K20" i="6"/>
  <c r="E31" i="7"/>
  <c r="E33" i="7" s="1"/>
  <c r="E45" i="7" s="1"/>
  <c r="F21" i="11"/>
  <c r="O28" i="4"/>
  <c r="N30" i="4"/>
  <c r="O27" i="5"/>
  <c r="P26" i="5"/>
  <c r="Q25" i="5"/>
  <c r="Q16" i="7" s="1"/>
  <c r="Q17" i="7" s="1"/>
  <c r="R23" i="5"/>
  <c r="R24" i="4"/>
  <c r="R14" i="4"/>
  <c r="G24" i="7" l="1"/>
  <c r="L26" i="9"/>
  <c r="L29" i="9" s="1"/>
  <c r="L31" i="9" s="1"/>
  <c r="L29" i="5"/>
  <c r="L32" i="7" s="1"/>
  <c r="M28" i="5"/>
  <c r="L19" i="6"/>
  <c r="H9" i="7"/>
  <c r="H14" i="7" s="1"/>
  <c r="H22" i="7" s="1"/>
  <c r="O29" i="6"/>
  <c r="O10" i="7" s="1"/>
  <c r="F20" i="9"/>
  <c r="F13" i="9"/>
  <c r="P9" i="4"/>
  <c r="P22" i="11"/>
  <c r="O11" i="4"/>
  <c r="O16" i="4" s="1"/>
  <c r="O19" i="4"/>
  <c r="O21" i="4" s="1"/>
  <c r="O15" i="6"/>
  <c r="G9" i="9"/>
  <c r="H23" i="7"/>
  <c r="G28" i="7"/>
  <c r="M24" i="9"/>
  <c r="M11" i="7"/>
  <c r="N19" i="11"/>
  <c r="M29" i="7"/>
  <c r="M10" i="6"/>
  <c r="M11" i="6" s="1"/>
  <c r="N28" i="9"/>
  <c r="N25" i="6"/>
  <c r="N33" i="4"/>
  <c r="N30" i="9" s="1"/>
  <c r="N17" i="6"/>
  <c r="N18" i="6" s="1"/>
  <c r="N8" i="6"/>
  <c r="N25" i="4"/>
  <c r="N34" i="4" s="1"/>
  <c r="N7" i="6" s="1"/>
  <c r="O20" i="5"/>
  <c r="O24" i="6" s="1"/>
  <c r="P16" i="5"/>
  <c r="M25" i="9"/>
  <c r="M12" i="7"/>
  <c r="M36" i="7"/>
  <c r="M37" i="7" s="1"/>
  <c r="M30" i="7"/>
  <c r="M13" i="7"/>
  <c r="O30" i="4"/>
  <c r="P28" i="4"/>
  <c r="Q10" i="4"/>
  <c r="Q23" i="11"/>
  <c r="P20" i="4"/>
  <c r="H41" i="7"/>
  <c r="G42" i="7"/>
  <c r="G44" i="7" s="1"/>
  <c r="J32" i="6"/>
  <c r="J33" i="6" s="1"/>
  <c r="J9" i="7" s="1"/>
  <c r="J14" i="7" s="1"/>
  <c r="J22" i="7" s="1"/>
  <c r="F31" i="7"/>
  <c r="F33" i="7" s="1"/>
  <c r="F45" i="7" s="1"/>
  <c r="G21" i="11"/>
  <c r="L20" i="11"/>
  <c r="K11" i="9"/>
  <c r="K30" i="6"/>
  <c r="K28" i="6"/>
  <c r="K10" i="9"/>
  <c r="L20" i="6"/>
  <c r="L27" i="6"/>
  <c r="O13" i="5"/>
  <c r="O23" i="6" s="1"/>
  <c r="P9" i="5"/>
  <c r="R25" i="5"/>
  <c r="R16" i="7" s="1"/>
  <c r="R17" i="7" s="1"/>
  <c r="S23" i="5"/>
  <c r="Q26" i="5"/>
  <c r="P27" i="5"/>
  <c r="S24" i="4"/>
  <c r="S14" i="4"/>
  <c r="H24" i="7" l="1"/>
  <c r="M29" i="5"/>
  <c r="M32" i="7" s="1"/>
  <c r="N28" i="5"/>
  <c r="P29" i="6"/>
  <c r="P10" i="7" s="1"/>
  <c r="H9" i="9"/>
  <c r="I23" i="7"/>
  <c r="I24" i="7" s="1"/>
  <c r="H28" i="7"/>
  <c r="P30" i="4"/>
  <c r="Q28" i="4"/>
  <c r="G20" i="9"/>
  <c r="G13" i="9"/>
  <c r="O19" i="11"/>
  <c r="N24" i="9"/>
  <c r="N29" i="7"/>
  <c r="N11" i="7"/>
  <c r="N10" i="6"/>
  <c r="N11" i="6" s="1"/>
  <c r="I41" i="7"/>
  <c r="H42" i="7"/>
  <c r="H44" i="7" s="1"/>
  <c r="N12" i="7"/>
  <c r="N36" i="7"/>
  <c r="N37" i="7" s="1"/>
  <c r="N25" i="9"/>
  <c r="N30" i="7"/>
  <c r="N13" i="7"/>
  <c r="O33" i="4"/>
  <c r="O30" i="9" s="1"/>
  <c r="O17" i="6"/>
  <c r="O18" i="6" s="1"/>
  <c r="O8" i="6"/>
  <c r="O25" i="4"/>
  <c r="O34" i="4" s="1"/>
  <c r="O7" i="6" s="1"/>
  <c r="K32" i="6"/>
  <c r="K33" i="6" s="1"/>
  <c r="K9" i="7" s="1"/>
  <c r="K14" i="7" s="1"/>
  <c r="K22" i="7" s="1"/>
  <c r="M19" i="6"/>
  <c r="O28" i="9"/>
  <c r="O25" i="6"/>
  <c r="M26" i="9"/>
  <c r="M29" i="9" s="1"/>
  <c r="M31" i="9" s="1"/>
  <c r="Q16" i="5"/>
  <c r="P20" i="5"/>
  <c r="P24" i="6" s="1"/>
  <c r="Q9" i="5"/>
  <c r="P13" i="5"/>
  <c r="P23" i="6" s="1"/>
  <c r="M20" i="11"/>
  <c r="L11" i="9"/>
  <c r="L30" i="6"/>
  <c r="L28" i="6"/>
  <c r="L10" i="9"/>
  <c r="R10" i="4"/>
  <c r="R23" i="11"/>
  <c r="Q20" i="4"/>
  <c r="G31" i="7"/>
  <c r="G33" i="7" s="1"/>
  <c r="G45" i="7" s="1"/>
  <c r="H21" i="11"/>
  <c r="Q9" i="4"/>
  <c r="Q22" i="11"/>
  <c r="P11" i="4"/>
  <c r="P16" i="4" s="1"/>
  <c r="P15" i="6"/>
  <c r="P19" i="4"/>
  <c r="P21" i="4" s="1"/>
  <c r="R26" i="5"/>
  <c r="Q27" i="5"/>
  <c r="S25" i="5"/>
  <c r="S16" i="7" s="1"/>
  <c r="S17" i="7" s="1"/>
  <c r="T23" i="5"/>
  <c r="T24" i="4"/>
  <c r="T14" i="4"/>
  <c r="N29" i="5" l="1"/>
  <c r="N32" i="7" s="1"/>
  <c r="O28" i="5"/>
  <c r="R16" i="5"/>
  <c r="Q20" i="5"/>
  <c r="Q24" i="6" s="1"/>
  <c r="H31" i="7"/>
  <c r="H33" i="7" s="1"/>
  <c r="I21" i="11"/>
  <c r="L32" i="6"/>
  <c r="L33" i="6" s="1"/>
  <c r="L9" i="7" s="1"/>
  <c r="L14" i="7" s="1"/>
  <c r="L22" i="7" s="1"/>
  <c r="I9" i="9"/>
  <c r="J23" i="7"/>
  <c r="J24" i="7" s="1"/>
  <c r="I28" i="7"/>
  <c r="O12" i="7"/>
  <c r="O36" i="7"/>
  <c r="O37" i="7" s="1"/>
  <c r="O13" i="7"/>
  <c r="O25" i="9"/>
  <c r="O30" i="7"/>
  <c r="N26" i="9"/>
  <c r="N29" i="9" s="1"/>
  <c r="N31" i="9" s="1"/>
  <c r="H20" i="9"/>
  <c r="H13" i="9"/>
  <c r="S10" i="4"/>
  <c r="S23" i="11"/>
  <c r="R20" i="4"/>
  <c r="M20" i="6"/>
  <c r="M27" i="6"/>
  <c r="H45" i="7"/>
  <c r="Q30" i="4"/>
  <c r="R28" i="4"/>
  <c r="Q29" i="6"/>
  <c r="Q10" i="7" s="1"/>
  <c r="R9" i="4"/>
  <c r="R22" i="11"/>
  <c r="Q15" i="6"/>
  <c r="Q19" i="4"/>
  <c r="Q21" i="4" s="1"/>
  <c r="Q11" i="4"/>
  <c r="Q16" i="4" s="1"/>
  <c r="O10" i="6"/>
  <c r="O29" i="7"/>
  <c r="O24" i="9"/>
  <c r="O26" i="9" s="1"/>
  <c r="O29" i="9" s="1"/>
  <c r="O31" i="9" s="1"/>
  <c r="P19" i="11"/>
  <c r="O11" i="7"/>
  <c r="C37" i="6"/>
  <c r="P28" i="9"/>
  <c r="P25" i="6"/>
  <c r="J41" i="7"/>
  <c r="I42" i="7"/>
  <c r="I44" i="7" s="1"/>
  <c r="P17" i="6"/>
  <c r="P18" i="6" s="1"/>
  <c r="P8" i="6"/>
  <c r="P33" i="4"/>
  <c r="P30" i="9" s="1"/>
  <c r="P25" i="4"/>
  <c r="P34" i="4" s="1"/>
  <c r="P7" i="6" s="1"/>
  <c r="R9" i="5"/>
  <c r="Q13" i="5"/>
  <c r="Q23" i="6" s="1"/>
  <c r="N19" i="6"/>
  <c r="U23" i="5"/>
  <c r="T25" i="5"/>
  <c r="T16" i="7" s="1"/>
  <c r="T17" i="7" s="1"/>
  <c r="S26" i="5"/>
  <c r="R27" i="5"/>
  <c r="U24" i="4"/>
  <c r="U14" i="4"/>
  <c r="O11" i="6" l="1"/>
  <c r="O19" i="6"/>
  <c r="O29" i="5"/>
  <c r="O32" i="7" s="1"/>
  <c r="P28" i="5"/>
  <c r="N20" i="11"/>
  <c r="M11" i="9"/>
  <c r="M28" i="6"/>
  <c r="M30" i="6"/>
  <c r="M10" i="9"/>
  <c r="I20" i="9"/>
  <c r="I13" i="9"/>
  <c r="N20" i="6"/>
  <c r="N27" i="6"/>
  <c r="O20" i="6"/>
  <c r="O27" i="6"/>
  <c r="K41" i="7"/>
  <c r="J42" i="7"/>
  <c r="J44" i="7" s="1"/>
  <c r="S9" i="4"/>
  <c r="S22" i="11"/>
  <c r="R11" i="4"/>
  <c r="R15" i="6"/>
  <c r="R19" i="4"/>
  <c r="R21" i="4" s="1"/>
  <c r="R16" i="4"/>
  <c r="R29" i="6"/>
  <c r="R10" i="7" s="1"/>
  <c r="S9" i="5"/>
  <c r="R13" i="5"/>
  <c r="R23" i="6" s="1"/>
  <c r="T10" i="4"/>
  <c r="T23" i="11"/>
  <c r="S20" i="4"/>
  <c r="Q28" i="9"/>
  <c r="Q25" i="6"/>
  <c r="P10" i="6"/>
  <c r="P11" i="6" s="1"/>
  <c r="Q19" i="11"/>
  <c r="P11" i="7"/>
  <c r="P24" i="9"/>
  <c r="P29" i="7"/>
  <c r="S28" i="4"/>
  <c r="R30" i="4"/>
  <c r="I31" i="7"/>
  <c r="I33" i="7" s="1"/>
  <c r="I45" i="7" s="1"/>
  <c r="J21" i="11"/>
  <c r="P36" i="7"/>
  <c r="P37" i="7" s="1"/>
  <c r="P13" i="7"/>
  <c r="P30" i="7"/>
  <c r="P12" i="7"/>
  <c r="P25" i="9"/>
  <c r="Q8" i="6"/>
  <c r="Q17" i="6"/>
  <c r="Q18" i="6" s="1"/>
  <c r="Q33" i="4"/>
  <c r="Q30" i="9" s="1"/>
  <c r="Q25" i="4"/>
  <c r="Q34" i="4" s="1"/>
  <c r="Q7" i="6" s="1"/>
  <c r="J9" i="9"/>
  <c r="K23" i="7"/>
  <c r="K24" i="7" s="1"/>
  <c r="J28" i="7"/>
  <c r="S16" i="5"/>
  <c r="R20" i="5"/>
  <c r="R24" i="6" s="1"/>
  <c r="V23" i="5"/>
  <c r="U25" i="5"/>
  <c r="U16" i="7" s="1"/>
  <c r="U17" i="7" s="1"/>
  <c r="T26" i="5"/>
  <c r="S27" i="5"/>
  <c r="V24" i="4"/>
  <c r="V14" i="4"/>
  <c r="P29" i="5" l="1"/>
  <c r="P32" i="7" s="1"/>
  <c r="Q28" i="5"/>
  <c r="R28" i="9"/>
  <c r="R25" i="6"/>
  <c r="T9" i="4"/>
  <c r="T22" i="11"/>
  <c r="S15" i="6"/>
  <c r="S19" i="4"/>
  <c r="S21" i="4" s="1"/>
  <c r="S11" i="4"/>
  <c r="S16" i="4" s="1"/>
  <c r="T16" i="5"/>
  <c r="S20" i="5"/>
  <c r="S24" i="6" s="1"/>
  <c r="S29" i="6"/>
  <c r="S10" i="7" s="1"/>
  <c r="L41" i="7"/>
  <c r="K42" i="7"/>
  <c r="K44" i="7" s="1"/>
  <c r="M32" i="6"/>
  <c r="M33" i="6" s="1"/>
  <c r="M9" i="7" s="1"/>
  <c r="M14" i="7" s="1"/>
  <c r="M22" i="7" s="1"/>
  <c r="S13" i="5"/>
  <c r="S23" i="6" s="1"/>
  <c r="T9" i="5"/>
  <c r="S30" i="4"/>
  <c r="T28" i="4"/>
  <c r="O11" i="9"/>
  <c r="P20" i="11"/>
  <c r="O28" i="6"/>
  <c r="O30" i="6"/>
  <c r="C38" i="6"/>
  <c r="O10" i="9"/>
  <c r="J31" i="7"/>
  <c r="J33" i="7" s="1"/>
  <c r="J45" i="7" s="1"/>
  <c r="K21" i="11"/>
  <c r="K9" i="9"/>
  <c r="L23" i="7"/>
  <c r="L24" i="7" s="1"/>
  <c r="K28" i="7"/>
  <c r="J20" i="9"/>
  <c r="J13" i="9"/>
  <c r="Q10" i="6"/>
  <c r="Q11" i="6" s="1"/>
  <c r="Q29" i="7"/>
  <c r="R19" i="11"/>
  <c r="Q24" i="9"/>
  <c r="Q11" i="7"/>
  <c r="R33" i="4"/>
  <c r="R30" i="9" s="1"/>
  <c r="R8" i="6"/>
  <c r="R17" i="6"/>
  <c r="R18" i="6" s="1"/>
  <c r="R25" i="4"/>
  <c r="R34" i="4" s="1"/>
  <c r="R7" i="6" s="1"/>
  <c r="Q13" i="7"/>
  <c r="Q36" i="7"/>
  <c r="Q37" i="7" s="1"/>
  <c r="Q12" i="7"/>
  <c r="Q30" i="7"/>
  <c r="Q25" i="9"/>
  <c r="P26" i="9"/>
  <c r="P29" i="9" s="1"/>
  <c r="P31" i="9" s="1"/>
  <c r="O20" i="11"/>
  <c r="N11" i="9"/>
  <c r="N28" i="6"/>
  <c r="N30" i="6"/>
  <c r="N10" i="9"/>
  <c r="U10" i="4"/>
  <c r="U23" i="11"/>
  <c r="T20" i="4"/>
  <c r="P19" i="6"/>
  <c r="U26" i="5"/>
  <c r="T27" i="5"/>
  <c r="W23" i="5"/>
  <c r="V25" i="5"/>
  <c r="V16" i="7" s="1"/>
  <c r="V17" i="7" s="1"/>
  <c r="W24" i="4"/>
  <c r="W14" i="4"/>
  <c r="Q26" i="9" l="1"/>
  <c r="Q29" i="9" s="1"/>
  <c r="Q31" i="9" s="1"/>
  <c r="Q29" i="5"/>
  <c r="Q32" i="7" s="1"/>
  <c r="R28" i="5"/>
  <c r="U28" i="4"/>
  <c r="T30" i="4"/>
  <c r="N32" i="6"/>
  <c r="N33" i="6" s="1"/>
  <c r="N9" i="7" s="1"/>
  <c r="N14" i="7" s="1"/>
  <c r="N22" i="7" s="1"/>
  <c r="S8" i="6"/>
  <c r="S17" i="6"/>
  <c r="S18" i="6" s="1"/>
  <c r="S33" i="4"/>
  <c r="S30" i="9" s="1"/>
  <c r="S25" i="4"/>
  <c r="S34" i="4" s="1"/>
  <c r="S7" i="6" s="1"/>
  <c r="P20" i="6"/>
  <c r="P27" i="6"/>
  <c r="R29" i="7"/>
  <c r="S19" i="11"/>
  <c r="R24" i="9"/>
  <c r="R11" i="7"/>
  <c r="R10" i="6"/>
  <c r="R11" i="6" s="1"/>
  <c r="K20" i="9"/>
  <c r="K13" i="9"/>
  <c r="M41" i="7"/>
  <c r="L42" i="7"/>
  <c r="L44" i="7" s="1"/>
  <c r="T13" i="5"/>
  <c r="T23" i="6" s="1"/>
  <c r="U9" i="5"/>
  <c r="U9" i="4"/>
  <c r="U22" i="11"/>
  <c r="T19" i="4"/>
  <c r="T21" i="4" s="1"/>
  <c r="T11" i="4"/>
  <c r="T16" i="4" s="1"/>
  <c r="T15" i="6"/>
  <c r="R30" i="7"/>
  <c r="R13" i="7"/>
  <c r="R25" i="9"/>
  <c r="R36" i="7"/>
  <c r="R37" i="7" s="1"/>
  <c r="R12" i="7"/>
  <c r="S28" i="9"/>
  <c r="S25" i="6"/>
  <c r="U16" i="5"/>
  <c r="T20" i="5"/>
  <c r="T24" i="6" s="1"/>
  <c r="L9" i="9"/>
  <c r="M23" i="7"/>
  <c r="M24" i="7" s="1"/>
  <c r="L28" i="7"/>
  <c r="O32" i="6"/>
  <c r="O33" i="6" s="1"/>
  <c r="V10" i="4"/>
  <c r="V23" i="11"/>
  <c r="U20" i="4"/>
  <c r="T29" i="6"/>
  <c r="T10" i="7" s="1"/>
  <c r="K31" i="7"/>
  <c r="K33" i="7" s="1"/>
  <c r="K45" i="7" s="1"/>
  <c r="L21" i="11"/>
  <c r="Q19" i="6"/>
  <c r="W25" i="5"/>
  <c r="W16" i="7" s="1"/>
  <c r="W17" i="7" s="1"/>
  <c r="X23" i="5"/>
  <c r="U27" i="5"/>
  <c r="V26" i="5"/>
  <c r="X24" i="4"/>
  <c r="X14" i="4"/>
  <c r="R19" i="6" l="1"/>
  <c r="R29" i="5"/>
  <c r="R32" i="7" s="1"/>
  <c r="S28" i="5"/>
  <c r="O9" i="7"/>
  <c r="O14" i="7" s="1"/>
  <c r="O22" i="7" s="1"/>
  <c r="C39" i="6"/>
  <c r="Q20" i="6"/>
  <c r="Q27" i="6"/>
  <c r="N41" i="7"/>
  <c r="M42" i="7"/>
  <c r="M44" i="7" s="1"/>
  <c r="M9" i="9"/>
  <c r="M28" i="7"/>
  <c r="N23" i="7"/>
  <c r="N24" i="7" s="1"/>
  <c r="V9" i="4"/>
  <c r="V22" i="11"/>
  <c r="U15" i="6"/>
  <c r="U11" i="4"/>
  <c r="U16" i="4" s="1"/>
  <c r="U19" i="4"/>
  <c r="U21" i="4" s="1"/>
  <c r="L31" i="7"/>
  <c r="L33" i="7" s="1"/>
  <c r="M21" i="11"/>
  <c r="P11" i="9"/>
  <c r="Q20" i="11"/>
  <c r="P28" i="6"/>
  <c r="P30" i="6"/>
  <c r="P10" i="9"/>
  <c r="U29" i="6"/>
  <c r="U10" i="7" s="1"/>
  <c r="L20" i="9"/>
  <c r="L13" i="9"/>
  <c r="U13" i="5"/>
  <c r="U23" i="6" s="1"/>
  <c r="V9" i="5"/>
  <c r="S10" i="6"/>
  <c r="S11" i="6" s="1"/>
  <c r="S29" i="7"/>
  <c r="S24" i="9"/>
  <c r="S11" i="7"/>
  <c r="T19" i="11"/>
  <c r="V28" i="4"/>
  <c r="U30" i="4"/>
  <c r="T17" i="6"/>
  <c r="T18" i="6" s="1"/>
  <c r="T33" i="4"/>
  <c r="T30" i="9" s="1"/>
  <c r="T8" i="6"/>
  <c r="T25" i="4"/>
  <c r="T34" i="4" s="1"/>
  <c r="T7" i="6" s="1"/>
  <c r="T28" i="9"/>
  <c r="T25" i="6"/>
  <c r="R26" i="9"/>
  <c r="R29" i="9" s="1"/>
  <c r="R31" i="9" s="1"/>
  <c r="V16" i="5"/>
  <c r="U20" i="5"/>
  <c r="U24" i="6" s="1"/>
  <c r="R20" i="6"/>
  <c r="R27" i="6"/>
  <c r="W10" i="4"/>
  <c r="W23" i="11"/>
  <c r="V20" i="4"/>
  <c r="L45" i="7"/>
  <c r="S30" i="7"/>
  <c r="S25" i="9"/>
  <c r="S13" i="7"/>
  <c r="S12" i="7"/>
  <c r="S36" i="7"/>
  <c r="S37" i="7" s="1"/>
  <c r="V27" i="5"/>
  <c r="W26" i="5"/>
  <c r="X25" i="5"/>
  <c r="X16" i="7" s="1"/>
  <c r="X17" i="7" s="1"/>
  <c r="Y23" i="5"/>
  <c r="Y24" i="4"/>
  <c r="Y14" i="4"/>
  <c r="S19" i="6" l="1"/>
  <c r="S20" i="6" s="1"/>
  <c r="S29" i="5"/>
  <c r="S32" i="7" s="1"/>
  <c r="T28" i="5"/>
  <c r="W9" i="4"/>
  <c r="W22" i="11"/>
  <c r="V11" i="4"/>
  <c r="V16" i="4" s="1"/>
  <c r="V19" i="4"/>
  <c r="V21" i="4" s="1"/>
  <c r="V15" i="6"/>
  <c r="T30" i="7"/>
  <c r="T25" i="9"/>
  <c r="T13" i="7"/>
  <c r="T36" i="7"/>
  <c r="T37" i="7" s="1"/>
  <c r="T12" i="7"/>
  <c r="S26" i="9"/>
  <c r="S29" i="9" s="1"/>
  <c r="S31" i="9" s="1"/>
  <c r="M13" i="9"/>
  <c r="M20" i="9"/>
  <c r="V29" i="6"/>
  <c r="V10" i="7" s="1"/>
  <c r="W9" i="5"/>
  <c r="V13" i="5"/>
  <c r="V23" i="6" s="1"/>
  <c r="O41" i="7"/>
  <c r="N42" i="7"/>
  <c r="N44" i="7" s="1"/>
  <c r="P32" i="6"/>
  <c r="P33" i="6" s="1"/>
  <c r="P9" i="7" s="1"/>
  <c r="P14" i="7" s="1"/>
  <c r="P22" i="7" s="1"/>
  <c r="V30" i="4"/>
  <c r="W28" i="4"/>
  <c r="U28" i="9"/>
  <c r="U25" i="6"/>
  <c r="Q11" i="9"/>
  <c r="R20" i="11"/>
  <c r="Q28" i="6"/>
  <c r="Q30" i="6"/>
  <c r="Q10" i="9"/>
  <c r="S27" i="6"/>
  <c r="N9" i="9"/>
  <c r="O23" i="7"/>
  <c r="O24" i="7" s="1"/>
  <c r="N28" i="7"/>
  <c r="U17" i="6"/>
  <c r="U18" i="6" s="1"/>
  <c r="U33" i="4"/>
  <c r="U30" i="9" s="1"/>
  <c r="U8" i="6"/>
  <c r="U25" i="4"/>
  <c r="U34" i="4" s="1"/>
  <c r="U7" i="6" s="1"/>
  <c r="W16" i="5"/>
  <c r="V20" i="5"/>
  <c r="V24" i="6" s="1"/>
  <c r="X10" i="4"/>
  <c r="X23" i="11"/>
  <c r="W20" i="4"/>
  <c r="R11" i="9"/>
  <c r="S20" i="11"/>
  <c r="R30" i="6"/>
  <c r="R28" i="6"/>
  <c r="R10" i="9"/>
  <c r="T24" i="9"/>
  <c r="T11" i="7"/>
  <c r="U19" i="11"/>
  <c r="T29" i="7"/>
  <c r="T10" i="6"/>
  <c r="T11" i="6" s="1"/>
  <c r="M31" i="7"/>
  <c r="M33" i="7" s="1"/>
  <c r="M45" i="7" s="1"/>
  <c r="N21" i="11"/>
  <c r="Y25" i="5"/>
  <c r="Y16" i="7" s="1"/>
  <c r="Y17" i="7" s="1"/>
  <c r="Z23" i="5"/>
  <c r="W27" i="5"/>
  <c r="W29" i="6" s="1"/>
  <c r="W10" i="7" s="1"/>
  <c r="X26" i="5"/>
  <c r="Z24" i="4"/>
  <c r="Z14" i="4"/>
  <c r="T29" i="5" l="1"/>
  <c r="T32" i="7" s="1"/>
  <c r="U28" i="5"/>
  <c r="T26" i="9"/>
  <c r="T29" i="9" s="1"/>
  <c r="T31" i="9" s="1"/>
  <c r="Y23" i="11"/>
  <c r="Y10" i="4"/>
  <c r="X20" i="4"/>
  <c r="O9" i="9"/>
  <c r="O28" i="7"/>
  <c r="P23" i="7"/>
  <c r="P24" i="7" s="1"/>
  <c r="N20" i="9"/>
  <c r="N13" i="9"/>
  <c r="V33" i="4"/>
  <c r="V30" i="9" s="1"/>
  <c r="V8" i="6"/>
  <c r="V17" i="6"/>
  <c r="V18" i="6" s="1"/>
  <c r="V25" i="4"/>
  <c r="V34" i="4" s="1"/>
  <c r="V7" i="6" s="1"/>
  <c r="W20" i="5"/>
  <c r="W24" i="6" s="1"/>
  <c r="X16" i="5"/>
  <c r="R32" i="6"/>
  <c r="R33" i="6" s="1"/>
  <c r="R9" i="7" s="1"/>
  <c r="R14" i="7" s="1"/>
  <c r="R22" i="7" s="1"/>
  <c r="U24" i="9"/>
  <c r="U11" i="7"/>
  <c r="V19" i="11"/>
  <c r="U29" i="7"/>
  <c r="U10" i="6"/>
  <c r="U11" i="6" s="1"/>
  <c r="U25" i="9"/>
  <c r="U12" i="7"/>
  <c r="U36" i="7"/>
  <c r="U37" i="7" s="1"/>
  <c r="U30" i="7"/>
  <c r="U13" i="7"/>
  <c r="T20" i="11"/>
  <c r="S11" i="9"/>
  <c r="S30" i="6"/>
  <c r="S28" i="6"/>
  <c r="S10" i="9"/>
  <c r="V28" i="9"/>
  <c r="V25" i="6"/>
  <c r="P41" i="7"/>
  <c r="O42" i="7"/>
  <c r="O44" i="7" s="1"/>
  <c r="W30" i="4"/>
  <c r="X28" i="4"/>
  <c r="X9" i="4"/>
  <c r="X22" i="11"/>
  <c r="W11" i="4"/>
  <c r="W16" i="4" s="1"/>
  <c r="W19" i="4"/>
  <c r="W21" i="4" s="1"/>
  <c r="W15" i="6"/>
  <c r="W13" i="5"/>
  <c r="W23" i="6" s="1"/>
  <c r="X9" i="5"/>
  <c r="N31" i="7"/>
  <c r="N33" i="7" s="1"/>
  <c r="N45" i="7" s="1"/>
  <c r="O21" i="11"/>
  <c r="Q32" i="6"/>
  <c r="Q33" i="6" s="1"/>
  <c r="Q9" i="7" s="1"/>
  <c r="Q14" i="7" s="1"/>
  <c r="Q22" i="7" s="1"/>
  <c r="T19" i="6"/>
  <c r="Y26" i="5"/>
  <c r="X27" i="5"/>
  <c r="Z25" i="5"/>
  <c r="Z16" i="7" s="1"/>
  <c r="Z17" i="7" s="1"/>
  <c r="AA23" i="5"/>
  <c r="AA25" i="5" s="1"/>
  <c r="AA24" i="4"/>
  <c r="AA14" i="4"/>
  <c r="U26" i="9" l="1"/>
  <c r="U29" i="9" s="1"/>
  <c r="U31" i="9" s="1"/>
  <c r="U29" i="5"/>
  <c r="U32" i="7" s="1"/>
  <c r="V28" i="5"/>
  <c r="Q41" i="7"/>
  <c r="P42" i="7"/>
  <c r="P44" i="7" s="1"/>
  <c r="P9" i="9"/>
  <c r="P28" i="7"/>
  <c r="Q23" i="7"/>
  <c r="Q24" i="7" s="1"/>
  <c r="O31" i="7"/>
  <c r="O33" i="7" s="1"/>
  <c r="O45" i="7" s="1"/>
  <c r="P21" i="11"/>
  <c r="W28" i="9"/>
  <c r="W25" i="6"/>
  <c r="Y28" i="4"/>
  <c r="X30" i="4"/>
  <c r="AA16" i="7"/>
  <c r="AA17" i="7" s="1"/>
  <c r="AB25" i="5"/>
  <c r="W18" i="6"/>
  <c r="Y16" i="5"/>
  <c r="X20" i="5"/>
  <c r="X24" i="6" s="1"/>
  <c r="W33" i="4"/>
  <c r="W30" i="9" s="1"/>
  <c r="W8" i="6"/>
  <c r="W17" i="6"/>
  <c r="W25" i="4"/>
  <c r="W34" i="4" s="1"/>
  <c r="W7" i="6" s="1"/>
  <c r="X29" i="6"/>
  <c r="X10" i="7" s="1"/>
  <c r="O20" i="9"/>
  <c r="O13" i="9"/>
  <c r="W19" i="11"/>
  <c r="V29" i="7"/>
  <c r="V24" i="9"/>
  <c r="V11" i="7"/>
  <c r="V10" i="6"/>
  <c r="Y9" i="5"/>
  <c r="X13" i="5"/>
  <c r="X23" i="6" s="1"/>
  <c r="Y9" i="4"/>
  <c r="Y22" i="11"/>
  <c r="X11" i="4"/>
  <c r="X16" i="4" s="1"/>
  <c r="X15" i="6"/>
  <c r="X19" i="4"/>
  <c r="X21" i="4" s="1"/>
  <c r="V12" i="7"/>
  <c r="V36" i="7"/>
  <c r="V37" i="7" s="1"/>
  <c r="V25" i="9"/>
  <c r="V13" i="7"/>
  <c r="V30" i="7"/>
  <c r="Z23" i="11"/>
  <c r="Y20" i="4"/>
  <c r="T20" i="6"/>
  <c r="T27" i="6"/>
  <c r="S32" i="6"/>
  <c r="S33" i="6" s="1"/>
  <c r="S9" i="7" s="1"/>
  <c r="S14" i="7" s="1"/>
  <c r="S22" i="7" s="1"/>
  <c r="U19" i="6"/>
  <c r="Z10" i="4"/>
  <c r="Z26" i="5"/>
  <c r="Y27" i="5"/>
  <c r="V11" i="6" l="1"/>
  <c r="V19" i="6"/>
  <c r="V26" i="9"/>
  <c r="V29" i="9" s="1"/>
  <c r="V31" i="9" s="1"/>
  <c r="V29" i="5"/>
  <c r="V32" i="7" s="1"/>
  <c r="W28" i="5"/>
  <c r="Q9" i="9"/>
  <c r="R23" i="7"/>
  <c r="R24" i="7" s="1"/>
  <c r="Q28" i="7"/>
  <c r="AB16" i="7"/>
  <c r="AB17" i="7" s="1"/>
  <c r="P31" i="7"/>
  <c r="P33" i="7" s="1"/>
  <c r="P45" i="7" s="1"/>
  <c r="Q21" i="11"/>
  <c r="U20" i="6"/>
  <c r="U27" i="6"/>
  <c r="X8" i="6"/>
  <c r="X17" i="6"/>
  <c r="X33" i="4"/>
  <c r="X30" i="9" s="1"/>
  <c r="X25" i="4"/>
  <c r="X34" i="4" s="1"/>
  <c r="X7" i="6" s="1"/>
  <c r="X18" i="6"/>
  <c r="X28" i="9"/>
  <c r="X25" i="6"/>
  <c r="P20" i="9"/>
  <c r="P13" i="9"/>
  <c r="W10" i="6"/>
  <c r="W11" i="6" s="1"/>
  <c r="X19" i="11"/>
  <c r="W11" i="7"/>
  <c r="W24" i="9"/>
  <c r="W29" i="7"/>
  <c r="V20" i="6"/>
  <c r="V27" i="6"/>
  <c r="U20" i="11"/>
  <c r="T11" i="9"/>
  <c r="T30" i="6"/>
  <c r="T28" i="6"/>
  <c r="T10" i="9"/>
  <c r="Y29" i="6"/>
  <c r="Y10" i="7" s="1"/>
  <c r="Y13" i="5"/>
  <c r="Y23" i="6" s="1"/>
  <c r="Z9" i="5"/>
  <c r="Z16" i="5"/>
  <c r="Y20" i="5"/>
  <c r="Y24" i="6" s="1"/>
  <c r="Y30" i="4"/>
  <c r="Z28" i="4"/>
  <c r="W12" i="7"/>
  <c r="W36" i="7"/>
  <c r="W37" i="7" s="1"/>
  <c r="W13" i="7"/>
  <c r="W25" i="9"/>
  <c r="W30" i="7"/>
  <c r="Z9" i="4"/>
  <c r="Z22" i="11"/>
  <c r="Y15" i="6"/>
  <c r="Y19" i="4"/>
  <c r="Y21" i="4" s="1"/>
  <c r="Y11" i="4"/>
  <c r="Y16" i="4" s="1"/>
  <c r="AA10" i="4"/>
  <c r="AA23" i="11"/>
  <c r="Z20" i="4"/>
  <c r="R41" i="7"/>
  <c r="Q42" i="7"/>
  <c r="Q44" i="7" s="1"/>
  <c r="AA26" i="5"/>
  <c r="AB26" i="5" s="1"/>
  <c r="Z27" i="5"/>
  <c r="W29" i="5" l="1"/>
  <c r="W32" i="7" s="1"/>
  <c r="X28" i="5"/>
  <c r="W26" i="9"/>
  <c r="W29" i="9" s="1"/>
  <c r="W31" i="9" s="1"/>
  <c r="W19" i="6"/>
  <c r="W27" i="6" s="1"/>
  <c r="S41" i="7"/>
  <c r="R42" i="7"/>
  <c r="R44" i="7" s="1"/>
  <c r="T32" i="6"/>
  <c r="T33" i="6" s="1"/>
  <c r="T9" i="7" s="1"/>
  <c r="T14" i="7" s="1"/>
  <c r="T22" i="7" s="1"/>
  <c r="AB23" i="11"/>
  <c r="AA20" i="4"/>
  <c r="AA16" i="5"/>
  <c r="AA20" i="5" s="1"/>
  <c r="Z20" i="5"/>
  <c r="Z24" i="6" s="1"/>
  <c r="Z13" i="5"/>
  <c r="Z23" i="6" s="1"/>
  <c r="AA9" i="5"/>
  <c r="AA13" i="5" s="1"/>
  <c r="Y28" i="9"/>
  <c r="Y25" i="6"/>
  <c r="W20" i="11"/>
  <c r="V11" i="9"/>
  <c r="V30" i="6"/>
  <c r="V28" i="6"/>
  <c r="V10" i="9"/>
  <c r="AA28" i="4"/>
  <c r="AA30" i="4" s="1"/>
  <c r="AB30" i="4" s="1"/>
  <c r="Z30" i="4"/>
  <c r="AA9" i="4"/>
  <c r="AA11" i="4" s="1"/>
  <c r="AA22" i="11"/>
  <c r="Z15" i="6"/>
  <c r="Z19" i="4"/>
  <c r="Z21" i="4" s="1"/>
  <c r="Z11" i="4"/>
  <c r="Z16" i="4" s="1"/>
  <c r="X10" i="6"/>
  <c r="X11" i="6" s="1"/>
  <c r="Y19" i="11"/>
  <c r="X24" i="9"/>
  <c r="X29" i="7"/>
  <c r="X11" i="7"/>
  <c r="Z29" i="6"/>
  <c r="Z10" i="7" s="1"/>
  <c r="Y17" i="6"/>
  <c r="Y18" i="6" s="1"/>
  <c r="Y33" i="4"/>
  <c r="Y30" i="9" s="1"/>
  <c r="Y8" i="6"/>
  <c r="Y25" i="4"/>
  <c r="Y34" i="4" s="1"/>
  <c r="Y7" i="6" s="1"/>
  <c r="Q31" i="7"/>
  <c r="Q33" i="7" s="1"/>
  <c r="Q45" i="7" s="1"/>
  <c r="R21" i="11"/>
  <c r="X36" i="7"/>
  <c r="X37" i="7" s="1"/>
  <c r="X13" i="7"/>
  <c r="X30" i="7"/>
  <c r="X25" i="9"/>
  <c r="X12" i="7"/>
  <c r="R9" i="9"/>
  <c r="S23" i="7"/>
  <c r="S24" i="7" s="1"/>
  <c r="R28" i="7"/>
  <c r="V20" i="11"/>
  <c r="U11" i="9"/>
  <c r="U28" i="6"/>
  <c r="U30" i="6"/>
  <c r="U10" i="9"/>
  <c r="Q20" i="9"/>
  <c r="Q13" i="9"/>
  <c r="AA27" i="5"/>
  <c r="W20" i="6" l="1"/>
  <c r="X29" i="5"/>
  <c r="X32" i="7" s="1"/>
  <c r="Y28" i="5"/>
  <c r="X19" i="6"/>
  <c r="Z17" i="6"/>
  <c r="Z18" i="6" s="1"/>
  <c r="Z8" i="6"/>
  <c r="Z33" i="4"/>
  <c r="Z30" i="9" s="1"/>
  <c r="Z25" i="4"/>
  <c r="Z34" i="4" s="1"/>
  <c r="Z7" i="6" s="1"/>
  <c r="W11" i="9"/>
  <c r="X20" i="11"/>
  <c r="W30" i="6"/>
  <c r="W28" i="6"/>
  <c r="W10" i="9"/>
  <c r="S9" i="9"/>
  <c r="T23" i="7"/>
  <c r="T24" i="7" s="1"/>
  <c r="S28" i="7"/>
  <c r="R20" i="9"/>
  <c r="R13" i="9"/>
  <c r="Y29" i="7"/>
  <c r="Y24" i="9"/>
  <c r="Y11" i="7"/>
  <c r="Z19" i="11"/>
  <c r="Y10" i="6"/>
  <c r="AB20" i="5"/>
  <c r="AB24" i="6" s="1"/>
  <c r="AA24" i="6"/>
  <c r="R31" i="7"/>
  <c r="R33" i="7" s="1"/>
  <c r="R45" i="7" s="1"/>
  <c r="S21" i="11"/>
  <c r="Z28" i="9"/>
  <c r="Z25" i="6"/>
  <c r="AA29" i="6"/>
  <c r="AA10" i="7" s="1"/>
  <c r="AB27" i="5"/>
  <c r="Y13" i="7"/>
  <c r="Y25" i="9"/>
  <c r="Y30" i="7"/>
  <c r="Y36" i="7"/>
  <c r="Y37" i="7" s="1"/>
  <c r="Y12" i="7"/>
  <c r="X26" i="9"/>
  <c r="X29" i="9" s="1"/>
  <c r="X31" i="9" s="1"/>
  <c r="AB22" i="11"/>
  <c r="AA15" i="6"/>
  <c r="AB15" i="6" s="1"/>
  <c r="AA19" i="4"/>
  <c r="AA21" i="4" s="1"/>
  <c r="AA16" i="4"/>
  <c r="T41" i="7"/>
  <c r="S42" i="7"/>
  <c r="S44" i="7" s="1"/>
  <c r="AA23" i="6"/>
  <c r="AB13" i="5"/>
  <c r="AB23" i="6" s="1"/>
  <c r="V32" i="6"/>
  <c r="V33" i="6" s="1"/>
  <c r="V9" i="7" s="1"/>
  <c r="V14" i="7" s="1"/>
  <c r="V22" i="7" s="1"/>
  <c r="U32" i="6"/>
  <c r="U33" i="6" s="1"/>
  <c r="U9" i="7" s="1"/>
  <c r="U14" i="7" s="1"/>
  <c r="U22" i="7" s="1"/>
  <c r="Y29" i="5" l="1"/>
  <c r="Y32" i="7" s="1"/>
  <c r="Z28" i="5"/>
  <c r="Y11" i="6"/>
  <c r="Y19" i="6"/>
  <c r="S31" i="7"/>
  <c r="S33" i="7" s="1"/>
  <c r="S45" i="7" s="1"/>
  <c r="T21" i="11"/>
  <c r="AB25" i="6"/>
  <c r="U41" i="7"/>
  <c r="T42" i="7"/>
  <c r="T44" i="7" s="1"/>
  <c r="T9" i="9"/>
  <c r="U23" i="7"/>
  <c r="U24" i="7" s="1"/>
  <c r="T28" i="7"/>
  <c r="Z10" i="6"/>
  <c r="Z29" i="7"/>
  <c r="Z24" i="9"/>
  <c r="AA19" i="11"/>
  <c r="Z11" i="7"/>
  <c r="AA33" i="4"/>
  <c r="AA8" i="6"/>
  <c r="AA17" i="6"/>
  <c r="AA25" i="4"/>
  <c r="S20" i="9"/>
  <c r="S13" i="9"/>
  <c r="Y26" i="9"/>
  <c r="Y29" i="9" s="1"/>
  <c r="Y31" i="9" s="1"/>
  <c r="Z30" i="7"/>
  <c r="Z25" i="9"/>
  <c r="Z36" i="7"/>
  <c r="Z37" i="7" s="1"/>
  <c r="Z12" i="7"/>
  <c r="Z13" i="7"/>
  <c r="AB29" i="6"/>
  <c r="AB10" i="7" s="1"/>
  <c r="AA28" i="9"/>
  <c r="AA25" i="6"/>
  <c r="W32" i="6"/>
  <c r="W33" i="6" s="1"/>
  <c r="W9" i="7" s="1"/>
  <c r="W14" i="7" s="1"/>
  <c r="W22" i="7" s="1"/>
  <c r="X20" i="6"/>
  <c r="X27" i="6"/>
  <c r="Z26" i="9" l="1"/>
  <c r="Z29" i="9" s="1"/>
  <c r="Z31" i="9" s="1"/>
  <c r="Z29" i="5"/>
  <c r="Z32" i="7" s="1"/>
  <c r="AA28" i="5"/>
  <c r="AA18" i="6"/>
  <c r="AA25" i="9" s="1"/>
  <c r="AB17" i="6"/>
  <c r="AB18" i="6" s="1"/>
  <c r="AB28" i="9"/>
  <c r="AA30" i="9"/>
  <c r="AB33" i="4"/>
  <c r="AB30" i="9" s="1"/>
  <c r="Z11" i="6"/>
  <c r="Z19" i="6"/>
  <c r="V41" i="7"/>
  <c r="U42" i="7"/>
  <c r="U44" i="7" s="1"/>
  <c r="AA30" i="7"/>
  <c r="AA36" i="7"/>
  <c r="AA37" i="7" s="1"/>
  <c r="AA12" i="7"/>
  <c r="AA13" i="7"/>
  <c r="AB8" i="6"/>
  <c r="T31" i="7"/>
  <c r="T33" i="7" s="1"/>
  <c r="T45" i="7" s="1"/>
  <c r="U21" i="11"/>
  <c r="U9" i="9"/>
  <c r="V23" i="7"/>
  <c r="V24" i="7" s="1"/>
  <c r="U28" i="7"/>
  <c r="Y20" i="6"/>
  <c r="Y27" i="6"/>
  <c r="X11" i="9"/>
  <c r="Y20" i="11"/>
  <c r="X28" i="6"/>
  <c r="X30" i="6"/>
  <c r="X10" i="9"/>
  <c r="T20" i="9"/>
  <c r="T13" i="9"/>
  <c r="AB25" i="4"/>
  <c r="AA34" i="4"/>
  <c r="AA29" i="5" l="1"/>
  <c r="AA32" i="7" s="1"/>
  <c r="AB28" i="5"/>
  <c r="AB29" i="5" s="1"/>
  <c r="AB32" i="7" s="1"/>
  <c r="AB25" i="9"/>
  <c r="AB36" i="7"/>
  <c r="AB37" i="7" s="1"/>
  <c r="AB30" i="7"/>
  <c r="AB13" i="7"/>
  <c r="AB12" i="7"/>
  <c r="Z20" i="6"/>
  <c r="Z27" i="6"/>
  <c r="W41" i="7"/>
  <c r="V42" i="7"/>
  <c r="V44" i="7" s="1"/>
  <c r="Y11" i="9"/>
  <c r="Z20" i="11"/>
  <c r="Y30" i="6"/>
  <c r="Y32" i="6" s="1"/>
  <c r="Y33" i="6" s="1"/>
  <c r="Y9" i="7" s="1"/>
  <c r="Y14" i="7" s="1"/>
  <c r="Y22" i="7" s="1"/>
  <c r="Y28" i="6"/>
  <c r="Y10" i="9"/>
  <c r="U31" i="7"/>
  <c r="U33" i="7" s="1"/>
  <c r="U45" i="7" s="1"/>
  <c r="V21" i="11"/>
  <c r="AB34" i="4"/>
  <c r="AB7" i="6" s="1"/>
  <c r="AA7" i="6"/>
  <c r="V9" i="9"/>
  <c r="W23" i="7"/>
  <c r="W24" i="7" s="1"/>
  <c r="V28" i="7"/>
  <c r="X32" i="6"/>
  <c r="X33" i="6" s="1"/>
  <c r="X9" i="7" s="1"/>
  <c r="X14" i="7" s="1"/>
  <c r="X22" i="7" s="1"/>
  <c r="U13" i="9"/>
  <c r="U20" i="9"/>
  <c r="D20" i="9"/>
  <c r="X41" i="7" l="1"/>
  <c r="W42" i="7"/>
  <c r="W44" i="7" s="1"/>
  <c r="Z11" i="9"/>
  <c r="AA20" i="11"/>
  <c r="Z30" i="6"/>
  <c r="Z32" i="6" s="1"/>
  <c r="Z33" i="6" s="1"/>
  <c r="Z9" i="7" s="1"/>
  <c r="Z14" i="7" s="1"/>
  <c r="Z22" i="7" s="1"/>
  <c r="Z28" i="6"/>
  <c r="Z10" i="9"/>
  <c r="V31" i="7"/>
  <c r="V33" i="7" s="1"/>
  <c r="V45" i="7" s="1"/>
  <c r="W21" i="11"/>
  <c r="V20" i="9"/>
  <c r="V13" i="9"/>
  <c r="AA29" i="7"/>
  <c r="AA24" i="9"/>
  <c r="AA26" i="9" s="1"/>
  <c r="AA29" i="9" s="1"/>
  <c r="AA31" i="9" s="1"/>
  <c r="F11" i="11" s="1"/>
  <c r="AA11" i="7"/>
  <c r="AB19" i="11"/>
  <c r="F7" i="11"/>
  <c r="AA10" i="6"/>
  <c r="D37" i="6"/>
  <c r="W9" i="9"/>
  <c r="X23" i="7"/>
  <c r="X24" i="7" s="1"/>
  <c r="W28" i="7"/>
  <c r="AB29" i="7"/>
  <c r="AB24" i="9"/>
  <c r="AB26" i="9" s="1"/>
  <c r="AB29" i="9" s="1"/>
  <c r="AB31" i="9" s="1"/>
  <c r="M7" i="11"/>
  <c r="AB11" i="7"/>
  <c r="AB10" i="6"/>
  <c r="E37" i="6"/>
  <c r="W31" i="7" l="1"/>
  <c r="W33" i="7" s="1"/>
  <c r="W45" i="7" s="1"/>
  <c r="X21" i="11"/>
  <c r="D32" i="10"/>
  <c r="E32" i="10" s="1"/>
  <c r="D31" i="10"/>
  <c r="E31" i="10" s="1"/>
  <c r="D30" i="10"/>
  <c r="E30" i="10" s="1"/>
  <c r="X9" i="9"/>
  <c r="Y23" i="7"/>
  <c r="Y24" i="7" s="1"/>
  <c r="X28" i="7"/>
  <c r="AB11" i="6"/>
  <c r="AB19" i="6"/>
  <c r="W20" i="9"/>
  <c r="W13" i="9"/>
  <c r="AA19" i="6"/>
  <c r="AA11" i="6"/>
  <c r="F9" i="11" s="1"/>
  <c r="Y41" i="7"/>
  <c r="X42" i="7"/>
  <c r="X44" i="7" s="1"/>
  <c r="Y9" i="9" l="1"/>
  <c r="Z23" i="7"/>
  <c r="Z24" i="7" s="1"/>
  <c r="Y28" i="7"/>
  <c r="AA20" i="6"/>
  <c r="AA27" i="6"/>
  <c r="X20" i="9"/>
  <c r="X13" i="9"/>
  <c r="X31" i="7"/>
  <c r="X33" i="7" s="1"/>
  <c r="X45" i="7" s="1"/>
  <c r="Y21" i="11"/>
  <c r="AB20" i="6"/>
  <c r="AB27" i="6"/>
  <c r="Z41" i="7"/>
  <c r="Y42" i="7"/>
  <c r="Y44" i="7" s="1"/>
  <c r="Y20" i="9" l="1"/>
  <c r="Y13" i="9"/>
  <c r="AA11" i="9"/>
  <c r="AB20" i="11"/>
  <c r="AA30" i="6"/>
  <c r="AA28" i="6"/>
  <c r="S7" i="11" s="1"/>
  <c r="D38" i="6"/>
  <c r="AA10" i="9"/>
  <c r="Z42" i="7"/>
  <c r="Z44" i="7" s="1"/>
  <c r="AB30" i="6"/>
  <c r="AB32" i="6" s="1"/>
  <c r="AB33" i="6" s="1"/>
  <c r="AB11" i="9"/>
  <c r="E38" i="6"/>
  <c r="AB28" i="6"/>
  <c r="AB10" i="9"/>
  <c r="Y31" i="7"/>
  <c r="Y33" i="7" s="1"/>
  <c r="Y45" i="7" s="1"/>
  <c r="Z21" i="11"/>
  <c r="Z9" i="9"/>
  <c r="Z28" i="7"/>
  <c r="AA23" i="7"/>
  <c r="Z20" i="9" l="1"/>
  <c r="Z13" i="9"/>
  <c r="AA32" i="6"/>
  <c r="AA33" i="6" s="1"/>
  <c r="Z31" i="7"/>
  <c r="Z33" i="7" s="1"/>
  <c r="Z45" i="7" s="1"/>
  <c r="AA21" i="11"/>
  <c r="AB9" i="7"/>
  <c r="AB14" i="7" s="1"/>
  <c r="AB22" i="7" s="1"/>
  <c r="E39" i="6"/>
  <c r="D39" i="6" l="1"/>
  <c r="AA9" i="7"/>
  <c r="AA14" i="7" s="1"/>
  <c r="AA22" i="7" s="1"/>
  <c r="AA24" i="7" s="1"/>
  <c r="AA41" i="7"/>
  <c r="AB41" i="7" l="1"/>
  <c r="AB42" i="7" s="1"/>
  <c r="AB44" i="7" s="1"/>
  <c r="AA42" i="7"/>
  <c r="AA44" i="7" s="1"/>
  <c r="AA9" i="9"/>
  <c r="M9" i="11"/>
  <c r="AB23" i="7"/>
  <c r="AB24" i="7" s="1"/>
  <c r="AA28" i="7"/>
  <c r="AA20" i="9" l="1"/>
  <c r="AA13" i="9"/>
  <c r="AA31" i="7"/>
  <c r="AA33" i="7" s="1"/>
  <c r="AA45" i="7" s="1"/>
  <c r="AB21" i="11"/>
  <c r="AB28" i="7"/>
  <c r="AB9" i="9"/>
  <c r="AB20" i="9" l="1"/>
  <c r="AB13" i="9"/>
  <c r="AB31" i="7"/>
  <c r="AB33" i="7" s="1"/>
  <c r="AB45" i="7" s="1"/>
  <c r="F31" i="10"/>
  <c r="G31" i="10" s="1"/>
  <c r="F30" i="10"/>
  <c r="G30" i="10" s="1"/>
  <c r="F32" i="10"/>
  <c r="G32" i="10" s="1"/>
</calcChain>
</file>

<file path=xl/sharedStrings.xml><?xml version="1.0" encoding="utf-8"?>
<sst xmlns="http://schemas.openxmlformats.org/spreadsheetml/2006/main" count="287" uniqueCount="264">
  <si>
    <t>COMPANY OVERVIEW</t>
  </si>
  <si>
    <t>Business Summary</t>
  </si>
  <si>
    <t>2027, Lagos, Nigeria</t>
  </si>
  <si>
    <t>Pre-revenue, Seed</t>
  </si>
  <si>
    <t>EdgeBot - autonomous AI-powered companion &amp; logistics robot</t>
  </si>
  <si>
    <t>Consumer Companion: home assistance, AI interaction, smart-home integration, security monitoring</t>
  </si>
  <si>
    <t>Last-Mile Logistics: grocery/package delivery, campus transport, small business logistics</t>
  </si>
  <si>
    <t>"To make intelligent robotic companions as common and essential as smartphones."</t>
  </si>
  <si>
    <t>Market Opportunity &amp; Funding Objective</t>
  </si>
  <si>
    <t>Urban African consumer households + last-mile logistics operators; expansion path to broader EM/global consumer robotics</t>
  </si>
  <si>
    <t>Urban delivery is expensive/inefficient; consumer demand for smart-home &amp; personal assistance is underserved by affordable robotics</t>
  </si>
  <si>
    <t>Raise $2.0M Seed to fund product finalization, initial manufacturing scale-up, and go-to-market for EdgeBot Home/Pro/Enterprise</t>
  </si>
  <si>
    <t>Founded:</t>
  </si>
  <si>
    <t>Stage:</t>
  </si>
  <si>
    <t>Product:</t>
  </si>
  <si>
    <t>Segment 1:</t>
  </si>
  <si>
    <t>Segment 2:</t>
  </si>
  <si>
    <t>Vision:</t>
  </si>
  <si>
    <t>Target Market:</t>
  </si>
  <si>
    <t>Problem:</t>
  </si>
  <si>
    <t>Funding Objective:</t>
  </si>
  <si>
    <t>Use of Proceeds:</t>
  </si>
  <si>
    <t>Engineering &amp; AI R&amp;D (45%), Manufacturing/inventory (25%), Go-to-market (20%), G&amp;A/working capital (10%)</t>
  </si>
  <si>
    <t>EDGELITE TECHNOLOGIES</t>
  </si>
  <si>
    <t>Seed-Stage Institutional Financial Model</t>
  </si>
  <si>
    <t>Edgelite Technologies</t>
  </si>
  <si>
    <t>AI Robotics / Autonomous Companion &amp; Logistics Robots</t>
  </si>
  <si>
    <t>Lagos, Nigeria</t>
  </si>
  <si>
    <t>Seed round ($2.0M) fundraising model - investor diligence &amp; internal planning</t>
  </si>
  <si>
    <t>Founders, Board, Prospective Seed Investors</t>
  </si>
  <si>
    <t>27-Aug-2026</t>
  </si>
  <si>
    <t>1.0 - Phase 1 Annual Build</t>
  </si>
  <si>
    <t>Confidential - Draft for Discussion</t>
  </si>
  <si>
    <t>Company Name:</t>
  </si>
  <si>
    <t>Industry:</t>
  </si>
  <si>
    <t>Headquarters:</t>
  </si>
  <si>
    <t>Model Purpose:</t>
  </si>
  <si>
    <t>Forecast Period:</t>
  </si>
  <si>
    <t>Prepared By:</t>
  </si>
  <si>
    <t>Prepared For:</t>
  </si>
  <si>
    <t>Date:</t>
  </si>
  <si>
    <t>Version:</t>
  </si>
  <si>
    <t>Classification:</t>
  </si>
  <si>
    <t>WILLIAMS EQUITIES - Financial Modeling Practice</t>
  </si>
  <si>
    <t>ASSUMPTIONS</t>
  </si>
  <si>
    <t>Scenario Manager (Downside/Base/Upside toggle) lives here at the top. Every other section below, and every other tab, reads only from the Selected column.</t>
  </si>
  <si>
    <t>SELECTED SCENARIO</t>
  </si>
  <si>
    <t>Base</t>
  </si>
  <si>
    <t>&lt;- Change to Downside / Base / Upside to re-drive the ENTIRE model</t>
  </si>
  <si>
    <t>Scenario Driver</t>
  </si>
  <si>
    <t>Downside</t>
  </si>
  <si>
    <t>Upside</t>
  </si>
  <si>
    <t>Selected</t>
  </si>
  <si>
    <t>Inflation Rate (Annual)</t>
  </si>
  <si>
    <t>Wage Inflation Rate (Annual)</t>
  </si>
  <si>
    <t>Unit Sales Growth Rate (Annual, YoY)</t>
  </si>
  <si>
    <t>Customer Adoption Multiplier (Month-1 Traffic/Units)</t>
  </si>
  <si>
    <t>Manufacturing Cost Multiplier (Month-1 Cost)</t>
  </si>
  <si>
    <t>Pricing Growth Rate (Annual)</t>
  </si>
  <si>
    <t>Marketing Spend Multiplier</t>
  </si>
  <si>
    <t>Hiring Pace Multiplier</t>
  </si>
  <si>
    <t>Monthly-Equivalent Conversions (used by Customer Acquisition &amp; Cost Build tabs)</t>
  </si>
  <si>
    <t>Monthly Unit-Growth-Equivalent Rate</t>
  </si>
  <si>
    <t>Organic Traffic Premium Multiplier (goodwill/SEO compounding vs Paid)</t>
  </si>
  <si>
    <t>Monthly Pricing-Growth-Equivalent Rate</t>
  </si>
  <si>
    <t>Monthly Cost-Inflation-Equivalent Rate</t>
  </si>
  <si>
    <t>Monthly Wage-Inflation-Equivalent Rate</t>
  </si>
  <si>
    <t>Funding</t>
  </si>
  <si>
    <t>Seed Raise Amount ($)</t>
  </si>
  <si>
    <t>Ownership Sold to Investors (%)</t>
  </si>
  <si>
    <t>Post-Money Valuation ($)</t>
  </si>
  <si>
    <t>Pre-Money Valuation ($)</t>
  </si>
  <si>
    <t>Founder Ownership (%)</t>
  </si>
  <si>
    <t>Product Pricing &amp; Order Economics — Month 1 Base</t>
  </si>
  <si>
    <t>Blended Home/Pro Average Order Value ($)</t>
  </si>
  <si>
    <t>Enterprise Unit Price ($)</t>
  </si>
  <si>
    <t>Blended Home/Pro Unit Manufacturing Cost ($)</t>
  </si>
  <si>
    <t>Enterprise Unit Manufacturing Cost ($)</t>
  </si>
  <si>
    <t>Order Fulfillment / Shipping Cost per Order ($)</t>
  </si>
  <si>
    <t>Customer Acquisition — Month 1 Base</t>
  </si>
  <si>
    <t>Paid Traffic (clicks/visits), Month 1</t>
  </si>
  <si>
    <t>Organic Traffic (visits), Month 1</t>
  </si>
  <si>
    <t>Paid Conversion Rate, Month 1</t>
  </si>
  <si>
    <t>Organic Conversion Rate, Month 1 (higher — brand goodwill)</t>
  </si>
  <si>
    <t>Paid Conversion — Monthly Improvement (pp)</t>
  </si>
  <si>
    <t>Organic Conversion — Monthly Improvement (pp)</t>
  </si>
  <si>
    <t>Paid Traffic Cost per Click ($), Month 1</t>
  </si>
  <si>
    <t>Organic Channel Investment ($/mo), Month 1 — content/SEO/community</t>
  </si>
  <si>
    <t>Enterprise Deals per Month, Month 1</t>
  </si>
  <si>
    <t>Cost Build — Month 1 Base</t>
  </si>
  <si>
    <t>R&amp;D Payroll ($/mo)</t>
  </si>
  <si>
    <t>Operations Payroll ($/mo)</t>
  </si>
  <si>
    <t>Growth (Marketing+Sales) Payroll ($/mo)</t>
  </si>
  <si>
    <t>Management Payroll ($/mo)</t>
  </si>
  <si>
    <t>Monthly Net-Add Payroll Increment, per dept ($/mo, base pace)</t>
  </si>
  <si>
    <t>Software &amp; Tools ($/mo)</t>
  </si>
  <si>
    <t>Legal &amp; Accounting ($/mo)</t>
  </si>
  <si>
    <t>Rent &amp; Facilities ($/mo, office+warehouse)</t>
  </si>
  <si>
    <t>Other G&amp;A ($/mo)</t>
  </si>
  <si>
    <t>Equipment &amp; Tooling Capex ($/mo)</t>
  </si>
  <si>
    <t>Office &amp; Other Capex ($/mo)</t>
  </si>
  <si>
    <t>Capex Useful Life (months, blended)</t>
  </si>
  <si>
    <t>Working Capital &amp; Tax</t>
  </si>
  <si>
    <t>Days Sales Outstanding (DSO)</t>
  </si>
  <si>
    <t>Days Inventory Outstanding (DIO)</t>
  </si>
  <si>
    <t>Days Payable Outstanding (DPO)</t>
  </si>
  <si>
    <t>Effective Tax Rate (post-NOL utilization)</t>
  </si>
  <si>
    <t>Exit Multiples</t>
  </si>
  <si>
    <t>Strategic Acquisition — EV/Revenue</t>
  </si>
  <si>
    <t>Private Equity Exit — EV/Revenue</t>
  </si>
  <si>
    <t>IPO — EV/Revenue</t>
  </si>
  <si>
    <t>24 months full detail (Yrs 1-2) + Year 3 as a single annualized column</t>
  </si>
  <si>
    <t>CUSTOMER ACQUISITION &amp; REVENUE</t>
  </si>
  <si>
    <t>1. Page Traffic (DTC - Home + Pro)</t>
  </si>
  <si>
    <t>Paid Traffic (Clicks / Visits)</t>
  </si>
  <si>
    <t>Organic Traffic (Visits)</t>
  </si>
  <si>
    <t>Total Traffic</t>
  </si>
  <si>
    <t>2. Conversion Rates (Paid, then Organic)</t>
  </si>
  <si>
    <t>Paid Conversion Rate</t>
  </si>
  <si>
    <r>
      <t xml:space="preserve">Organic Conversion Rate </t>
    </r>
    <r>
      <rPr>
        <i/>
        <sz val="12"/>
        <color theme="1"/>
        <rFont val="Times New Roman"/>
        <family val="1"/>
      </rPr>
      <t>(Higher based on Brand's Goodwill Gained)</t>
    </r>
  </si>
  <si>
    <t>Average (Blended Conversion Rate)</t>
  </si>
  <si>
    <t>3. Orders (Home + Pro, Via DTC funnel</t>
  </si>
  <si>
    <t>Paid Orders</t>
  </si>
  <si>
    <t>Organic Orders</t>
  </si>
  <si>
    <t>Total DTC Orders</t>
  </si>
  <si>
    <t>4.  DTC Order Economics</t>
  </si>
  <si>
    <t>Average Order Value ($) - Blended Home / Pro</t>
  </si>
  <si>
    <t>DTC Revenue ($)</t>
  </si>
  <si>
    <t>5. Enterprise Direct Sales</t>
  </si>
  <si>
    <t>Enterprise Deals per month</t>
  </si>
  <si>
    <t>Enterprise Revenue ($)</t>
  </si>
  <si>
    <t>6. Consolidated Revenue &amp; Units</t>
  </si>
  <si>
    <t>Total Units / Order (DTC + Enterprise)</t>
  </si>
  <si>
    <t>Total Revenue ($)</t>
  </si>
  <si>
    <t>Year 3 (Annual)</t>
  </si>
  <si>
    <t>Months</t>
  </si>
  <si>
    <t>COST BUILD</t>
  </si>
  <si>
    <t>1. Payroll (4 Consolidated Departments)</t>
  </si>
  <si>
    <t>R&amp;D (Engineering + AI Research)</t>
  </si>
  <si>
    <t>Operations</t>
  </si>
  <si>
    <t>Growth (Marketing + Sales)</t>
  </si>
  <si>
    <t>Management</t>
  </si>
  <si>
    <t>Total Payroll</t>
  </si>
  <si>
    <t>2. Operating Expenses (ex-payroll, ex-marketing - marketing lives in the P&amp;L via the funnel)</t>
  </si>
  <si>
    <t>Software &amp; Tools</t>
  </si>
  <si>
    <t>Legal &amp; Accounting</t>
  </si>
  <si>
    <t>Rent &amp; Facilities</t>
  </si>
  <si>
    <t>Other G&amp;A Expenses</t>
  </si>
  <si>
    <t>Total Opex (ex-payroll, ex-marketing)</t>
  </si>
  <si>
    <t xml:space="preserve">3. Capex &amp; Depreciation (Simplified - </t>
  </si>
  <si>
    <t>Equipment &amp; Tooling Capex</t>
  </si>
  <si>
    <t>Office &amp; Other Capex</t>
  </si>
  <si>
    <t>Total Monthly Capex</t>
  </si>
  <si>
    <t>Cumulative Capex</t>
  </si>
  <si>
    <t>Monthly Depreciation</t>
  </si>
  <si>
    <t>Cumulative Depreciation</t>
  </si>
  <si>
    <t>Net PP&amp;E</t>
  </si>
  <si>
    <t>MONTHLY P&amp;L</t>
  </si>
  <si>
    <t>Revenue (DTC + Enterprise)</t>
  </si>
  <si>
    <t>COGS</t>
  </si>
  <si>
    <t>Gross Profit</t>
  </si>
  <si>
    <t>Gross Profit Margin</t>
  </si>
  <si>
    <t>Variable Costs</t>
  </si>
  <si>
    <t>Marketing — Paid Traffic x CPC (customer acquisition cost)</t>
  </si>
  <si>
    <t>Organic Channel Investment</t>
  </si>
  <si>
    <t>Fulfillment (Shipping x Orders)</t>
  </si>
  <si>
    <t>Total Variable Costs</t>
  </si>
  <si>
    <t>Contribution Margin</t>
  </si>
  <si>
    <t>Contribution Margin %</t>
  </si>
  <si>
    <t>Fixed Costs</t>
  </si>
  <si>
    <t>Payroll</t>
  </si>
  <si>
    <t>Other Operating Expenses</t>
  </si>
  <si>
    <t>Total Fixed Costs</t>
  </si>
  <si>
    <t>EBITDA</t>
  </si>
  <si>
    <t>EBITDA Margin %</t>
  </si>
  <si>
    <t>Depreciation &amp; Amortization</t>
  </si>
  <si>
    <t>EBT (Earnings Before Tax)</t>
  </si>
  <si>
    <t>Tax</t>
  </si>
  <si>
    <t>Net Income</t>
  </si>
  <si>
    <t>Annual Rollup Summary (Yr1 / Yr2 / Yr3)</t>
  </si>
  <si>
    <t>Revenue</t>
  </si>
  <si>
    <t>Year 1</t>
  </si>
  <si>
    <t>Year 2</t>
  </si>
  <si>
    <t>Year 3</t>
  </si>
  <si>
    <t>CASH FLOW STATEMENT &amp; STATEMENT OF FINANCIAL POSITION</t>
  </si>
  <si>
    <t>Cash Flow Statement</t>
  </si>
  <si>
    <t>+ Depreciation</t>
  </si>
  <si>
    <t>(-) Increase in Accounts Receivable</t>
  </si>
  <si>
    <t>(-) Increase in Inventory</t>
  </si>
  <si>
    <t>(+) Increase in Accounts Payable</t>
  </si>
  <si>
    <t>Cash Flow from Operations</t>
  </si>
  <si>
    <t>Capital Expenditures</t>
  </si>
  <si>
    <t>Cash Flow from Investing</t>
  </si>
  <si>
    <t>Seed Equity Raised</t>
  </si>
  <si>
    <t>Cash Flow from Financing</t>
  </si>
  <si>
    <t>Net Change in Cash</t>
  </si>
  <si>
    <t>Assets</t>
  </si>
  <si>
    <t>Cash</t>
  </si>
  <si>
    <t>Accounts Receivable</t>
  </si>
  <si>
    <t>Inventory</t>
  </si>
  <si>
    <t>Total Current Assets</t>
  </si>
  <si>
    <t>Total Assets</t>
  </si>
  <si>
    <t>Liabilities</t>
  </si>
  <si>
    <t>Accounts Payable</t>
  </si>
  <si>
    <t>Total Liabilities</t>
  </si>
  <si>
    <t>Equity</t>
  </si>
  <si>
    <t>Paid-In Capital</t>
  </si>
  <si>
    <t>Retained Earnings (cumulative Net Income)</t>
  </si>
  <si>
    <t>Total Equity</t>
  </si>
  <si>
    <t>Total Liabilities + Equity</t>
  </si>
  <si>
    <t>Statement of Financial Position</t>
  </si>
  <si>
    <t>RUNWAY BURN AND BREAK EVEN ANALYSIS</t>
  </si>
  <si>
    <t>Runway &amp; Burn</t>
  </si>
  <si>
    <t>Cash Balance (End of Period)</t>
  </si>
  <si>
    <t>Gross Burn (Revenue - EBITDA = total cash costs)</t>
  </si>
  <si>
    <t>Net Burn (= -EBITDA; positive = burning cash)</t>
  </si>
  <si>
    <t>Runway Remaining (Months)</t>
  </si>
  <si>
    <t>No-Revenue Downside (Month-1 Fixed Costs Only)</t>
  </si>
  <si>
    <t>Month-1 Payroll + Opex (Fixed Cost Base)</t>
  </si>
  <si>
    <t>Implied Runway (Months) on $2.0M Raise, No Revenue</t>
  </si>
  <si>
    <t>Minimum Cash Threshold Alert ($)</t>
  </si>
  <si>
    <t>Below Minimum Threshold?</t>
  </si>
  <si>
    <t>Break-Even Analysis</t>
  </si>
  <si>
    <t>Blended ASP ($/unit)</t>
  </si>
  <si>
    <t>Blended Variable Cost ($/unit)</t>
  </si>
  <si>
    <t>Contribution Margin ($/unit)</t>
  </si>
  <si>
    <t>Fixed Costs (Payroll+Opex+D&amp;A)</t>
  </si>
  <si>
    <t>Break-Even Units Needed</t>
  </si>
  <si>
    <t>Actual Units Sold</t>
  </si>
  <si>
    <t>Break-Even Status</t>
  </si>
  <si>
    <t xml:space="preserve"> Ending Cash Balance</t>
  </si>
  <si>
    <t>Beginning Cash Balance</t>
  </si>
  <si>
    <t>CAP TABLE AND INVESTOR RETURNS</t>
  </si>
  <si>
    <t>SEED ROUND TERMS</t>
  </si>
  <si>
    <t>Investor Returns (Undiluted)</t>
  </si>
  <si>
    <t>Hold Period (Years)</t>
  </si>
  <si>
    <t>Exit Enterprise Value ($)</t>
  </si>
  <si>
    <t>Investor Proceeds ($)</t>
  </si>
  <si>
    <t>MOIC (x)</t>
  </si>
  <si>
    <t>IRR (%, implied CAGR)</t>
  </si>
  <si>
    <t>Exit Scenarios</t>
  </si>
  <si>
    <t>Exit Path</t>
  </si>
  <si>
    <t>Revenue Multiple</t>
  </si>
  <si>
    <t>Year-3 Revenue ($)</t>
  </si>
  <si>
    <t>Enterprise Value ($)</t>
  </si>
  <si>
    <t>Equity Value ($)</t>
  </si>
  <si>
    <t>Strategic Acquisition</t>
  </si>
  <si>
    <t>Private Equity Exit</t>
  </si>
  <si>
    <t>IPO</t>
  </si>
  <si>
    <t>EXECUTIVE DASHBOARD</t>
  </si>
  <si>
    <t>KEY METRICS</t>
  </si>
  <si>
    <t>Revenue (Month 24)</t>
  </si>
  <si>
    <t>Gross Margin (Month 24)</t>
  </si>
  <si>
    <t>Break-Even Status (Month 24)</t>
  </si>
  <si>
    <t>Revenue (Year 3, annualized)</t>
  </si>
  <si>
    <t>Cash Balance (Month 24)</t>
  </si>
  <si>
    <t>MOIC @ $100M Exit</t>
  </si>
  <si>
    <t>EBITDA Margin (Month 24)</t>
  </si>
  <si>
    <t>Runway (Month 1, months)</t>
  </si>
  <si>
    <t>IRR @ $100M Exit</t>
  </si>
  <si>
    <t>Chart Source (Month #)</t>
  </si>
  <si>
    <t>CHARTS</t>
  </si>
  <si>
    <t>Paid Traffic</t>
  </si>
  <si>
    <t>Organic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</si>
</sst>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0.0%"/>
    <numFmt numFmtId="165" formatCode="0.00\x"/>
    <numFmt numFmtId="166" formatCode="\$#,##0;&quot;($&quot;#,##0\);\-"/>
    <numFmt numFmtId="167" formatCode="\$#,##0.00;&quot;($&quot;#,##0.00\);\-"/>
    <numFmt numFmtId="168" formatCode="#,##0;\(#,##0\);\-"/>
    <numFmt numFmtId="169" formatCode="0.0"/>
    <numFmt numFmtId="170" formatCode="_(&quot;$&quot;* #,##0_);_(&quot;$&quot;* \(#,##0\);_(&quot;$&quot;* &quot;-&quot;??_);_(@_)"/>
    <numFmt numFmtId="171" formatCode="\%#,##0.00;&quot;(&quot;#,##0.0%\);\-"/>
    <numFmt numFmtId="172" formatCode="0.0&quot;mo&quot;"/>
  </numFmts>
  <fonts count="37" x14ac:knownFonts="1">
    <font>
      <sz val="12"/>
      <color theme="1"/>
      <name val="Times New Roman"/>
      <family val="2"/>
    </font>
    <font>
      <b/>
      <sz val="16"/>
      <color rgb="FF1F4E78"/>
      <name val="Arial"/>
      <charset val="1"/>
    </font>
    <font>
      <b/>
      <u/>
      <sz val="16"/>
      <color rgb="FF1F4E78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u/>
      <sz val="12"/>
      <color rgb="FFFFFFFF"/>
      <name val="Times New Roman"/>
      <family val="1"/>
    </font>
    <font>
      <sz val="10"/>
      <color rgb="FF000000"/>
      <name val="Arial"/>
      <family val="2"/>
    </font>
    <font>
      <b/>
      <sz val="16"/>
      <color rgb="FF1F4E78"/>
      <name val="Arial"/>
      <family val="2"/>
    </font>
    <font>
      <i/>
      <sz val="11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6"/>
      <color rgb="FF1F4E78"/>
      <name val="Times New Roman"/>
      <family val="1"/>
    </font>
    <font>
      <i/>
      <sz val="11"/>
      <color rgb="FF595959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2"/>
    </font>
    <font>
      <i/>
      <sz val="12"/>
      <color rgb="FF7F7F7F"/>
      <name val="Times New Roman"/>
      <family val="2"/>
    </font>
    <font>
      <sz val="12"/>
      <color theme="0"/>
      <name val="Times New Roman"/>
      <family val="2"/>
    </font>
    <font>
      <b/>
      <u/>
      <sz val="12"/>
      <color theme="4" tint="-0.249977111117893"/>
      <name val="Times New Roman"/>
      <family val="1"/>
    </font>
    <font>
      <i/>
      <sz val="12"/>
      <color rgb="FF595959"/>
      <name val="Times New Roman"/>
      <family val="1"/>
    </font>
    <font>
      <sz val="12"/>
      <color theme="0"/>
      <name val="Times New Roman"/>
      <family val="1"/>
    </font>
    <font>
      <sz val="12"/>
      <color rgb="FF0000FF"/>
      <name val="Times New Roman"/>
      <family val="1"/>
    </font>
    <font>
      <sz val="12"/>
      <name val="Times New Roman"/>
      <family val="1"/>
    </font>
    <font>
      <b/>
      <u/>
      <sz val="14"/>
      <color rgb="FF00206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2"/>
    </font>
    <font>
      <b/>
      <sz val="12"/>
      <color theme="0"/>
      <name val="Times New Roman"/>
      <family val="1"/>
    </font>
    <font>
      <i/>
      <sz val="12"/>
      <color rgb="FF7F7F7F"/>
      <name val="Times New Roman"/>
      <family val="1"/>
    </font>
    <font>
      <sz val="12"/>
      <color rgb="FF008000"/>
      <name val="Times New Roman"/>
      <family val="1"/>
    </font>
    <font>
      <b/>
      <u/>
      <sz val="12"/>
      <name val="Times New Roman"/>
      <family val="1"/>
    </font>
    <font>
      <sz val="12"/>
      <color rgb="FF00B050"/>
      <name val="Times New Roman"/>
      <family val="1"/>
    </font>
    <font>
      <i/>
      <sz val="10"/>
      <color rgb="FF595959"/>
      <name val="Arial"/>
      <family val="2"/>
    </font>
    <font>
      <b/>
      <sz val="11"/>
      <color theme="0"/>
      <name val="Times New Roman"/>
      <family val="1"/>
    </font>
    <font>
      <b/>
      <sz val="12"/>
      <color theme="9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theme="4" tint="-0.249977111117893"/>
        <bgColor rgb="FFFFFF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3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0" fontId="5" fillId="0" borderId="0" xfId="0" applyFont="1"/>
    <xf numFmtId="0" fontId="6" fillId="0" borderId="0" xfId="0" applyFont="1"/>
    <xf numFmtId="0" fontId="4" fillId="3" borderId="0" xfId="0" applyFont="1" applyFill="1" applyAlignment="1">
      <alignment horizontal="left" vertical="center" indent="1"/>
    </xf>
    <xf numFmtId="0" fontId="3" fillId="4" borderId="0" xfId="0" applyFont="1" applyFill="1"/>
    <xf numFmtId="0" fontId="0" fillId="4" borderId="0" xfId="0" applyFill="1"/>
    <xf numFmtId="0" fontId="7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6" borderId="0" xfId="0" applyFill="1"/>
    <xf numFmtId="0" fontId="11" fillId="7" borderId="0" xfId="0" applyFont="1" applyFill="1" applyAlignment="1">
      <alignment vertical="center"/>
    </xf>
    <xf numFmtId="0" fontId="0" fillId="6" borderId="0" xfId="0" applyFill="1" applyAlignment="1">
      <alignment horizontal="center"/>
    </xf>
    <xf numFmtId="0" fontId="12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4" fillId="2" borderId="0" xfId="0" applyFont="1" applyFill="1"/>
    <xf numFmtId="0" fontId="22" fillId="11" borderId="0" xfId="0" applyFont="1" applyFill="1"/>
    <xf numFmtId="0" fontId="5" fillId="9" borderId="0" xfId="0" applyFont="1" applyFill="1"/>
    <xf numFmtId="0" fontId="5" fillId="9" borderId="0" xfId="0" applyFont="1" applyFill="1" applyAlignment="1">
      <alignment horizontal="center"/>
    </xf>
    <xf numFmtId="164" fontId="23" fillId="0" borderId="0" xfId="0" applyNumberFormat="1" applyFont="1"/>
    <xf numFmtId="164" fontId="6" fillId="10" borderId="0" xfId="0" applyNumberFormat="1" applyFont="1" applyFill="1"/>
    <xf numFmtId="165" fontId="23" fillId="0" borderId="0" xfId="0" applyNumberFormat="1" applyFont="1"/>
    <xf numFmtId="165" fontId="6" fillId="10" borderId="0" xfId="0" applyNumberFormat="1" applyFont="1" applyFill="1"/>
    <xf numFmtId="10" fontId="6" fillId="0" borderId="0" xfId="0" applyNumberFormat="1" applyFont="1"/>
    <xf numFmtId="166" fontId="23" fillId="0" borderId="0" xfId="0" applyNumberFormat="1" applyFont="1"/>
    <xf numFmtId="166" fontId="6" fillId="0" borderId="0" xfId="0" applyNumberFormat="1" applyFont="1"/>
    <xf numFmtId="164" fontId="6" fillId="0" borderId="0" xfId="0" applyNumberFormat="1" applyFont="1"/>
    <xf numFmtId="167" fontId="23" fillId="0" borderId="0" xfId="0" applyNumberFormat="1" applyFont="1"/>
    <xf numFmtId="168" fontId="23" fillId="0" borderId="0" xfId="0" applyNumberFormat="1" applyFont="1"/>
    <xf numFmtId="10" fontId="23" fillId="0" borderId="0" xfId="0" applyNumberFormat="1" applyFont="1"/>
    <xf numFmtId="169" fontId="23" fillId="0" borderId="0" xfId="0" applyNumberFormat="1" applyFont="1"/>
    <xf numFmtId="165" fontId="23" fillId="8" borderId="0" xfId="0" applyNumberFormat="1" applyFont="1" applyFill="1"/>
    <xf numFmtId="0" fontId="24" fillId="0" borderId="0" xfId="0" applyFont="1"/>
    <xf numFmtId="0" fontId="25" fillId="0" borderId="0" xfId="0" applyFont="1"/>
    <xf numFmtId="0" fontId="0" fillId="12" borderId="0" xfId="0" applyFill="1"/>
    <xf numFmtId="0" fontId="19" fillId="12" borderId="0" xfId="0" applyFont="1" applyFill="1"/>
    <xf numFmtId="0" fontId="22" fillId="12" borderId="0" xfId="0" applyFont="1" applyFill="1"/>
    <xf numFmtId="0" fontId="27" fillId="0" borderId="0" xfId="0" applyFont="1"/>
    <xf numFmtId="0" fontId="26" fillId="0" borderId="0" xfId="0" applyFont="1" applyAlignment="1">
      <alignment horizontal="center"/>
    </xf>
    <xf numFmtId="0" fontId="28" fillId="0" borderId="0" xfId="0" applyFont="1"/>
    <xf numFmtId="10" fontId="0" fillId="0" borderId="0" xfId="0" applyNumberFormat="1"/>
    <xf numFmtId="10" fontId="28" fillId="0" borderId="0" xfId="0" applyNumberFormat="1" applyFont="1"/>
    <xf numFmtId="170" fontId="28" fillId="0" borderId="0" xfId="1" applyNumberFormat="1" applyFont="1"/>
    <xf numFmtId="170" fontId="0" fillId="0" borderId="0" xfId="0" applyNumberFormat="1"/>
    <xf numFmtId="0" fontId="18" fillId="0" borderId="0" xfId="3"/>
    <xf numFmtId="0" fontId="0" fillId="13" borderId="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169" fontId="0" fillId="0" borderId="0" xfId="0" applyNumberFormat="1"/>
    <xf numFmtId="1" fontId="0" fillId="0" borderId="0" xfId="0" applyNumberFormat="1"/>
    <xf numFmtId="37" fontId="28" fillId="0" borderId="0" xfId="0" applyNumberFormat="1" applyFont="1"/>
    <xf numFmtId="37" fontId="0" fillId="0" borderId="0" xfId="0" applyNumberFormat="1"/>
    <xf numFmtId="37" fontId="27" fillId="0" borderId="0" xfId="0" applyNumberFormat="1" applyFont="1"/>
    <xf numFmtId="170" fontId="0" fillId="0" borderId="0" xfId="1" applyNumberFormat="1" applyFont="1"/>
    <xf numFmtId="170" fontId="19" fillId="14" borderId="0" xfId="0" applyNumberFormat="1" applyFont="1" applyFill="1"/>
    <xf numFmtId="170" fontId="27" fillId="0" borderId="0" xfId="1" applyNumberFormat="1" applyFont="1"/>
    <xf numFmtId="170" fontId="27" fillId="0" borderId="0" xfId="0" applyNumberFormat="1" applyFont="1"/>
    <xf numFmtId="1" fontId="27" fillId="0" borderId="0" xfId="0" applyNumberFormat="1" applyFont="1"/>
    <xf numFmtId="3" fontId="27" fillId="0" borderId="0" xfId="0" applyNumberFormat="1" applyFont="1"/>
    <xf numFmtId="170" fontId="29" fillId="14" borderId="0" xfId="0" applyNumberFormat="1" applyFont="1" applyFill="1"/>
    <xf numFmtId="10" fontId="27" fillId="0" borderId="0" xfId="0" applyNumberFormat="1" applyFont="1"/>
    <xf numFmtId="44" fontId="27" fillId="0" borderId="0" xfId="1" applyFont="1"/>
    <xf numFmtId="44" fontId="27" fillId="0" borderId="0" xfId="0" applyNumberFormat="1" applyFont="1"/>
    <xf numFmtId="0" fontId="29" fillId="12" borderId="0" xfId="0" applyFont="1" applyFill="1"/>
    <xf numFmtId="170" fontId="17" fillId="0" borderId="0" xfId="1" applyNumberFormat="1" applyFont="1"/>
    <xf numFmtId="0" fontId="19" fillId="16" borderId="0" xfId="0" applyFont="1" applyFill="1"/>
    <xf numFmtId="0" fontId="19" fillId="14" borderId="0" xfId="0" applyFont="1" applyFill="1"/>
    <xf numFmtId="170" fontId="19" fillId="14" borderId="0" xfId="1" applyNumberFormat="1" applyFont="1" applyFill="1"/>
    <xf numFmtId="0" fontId="30" fillId="0" borderId="0" xfId="3" applyFont="1"/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166" fontId="31" fillId="0" borderId="0" xfId="0" applyNumberFormat="1" applyFont="1"/>
    <xf numFmtId="166" fontId="5" fillId="0" borderId="0" xfId="0" applyNumberFormat="1" applyFont="1"/>
    <xf numFmtId="166" fontId="22" fillId="14" borderId="0" xfId="0" applyNumberFormat="1" applyFont="1" applyFill="1"/>
    <xf numFmtId="172" fontId="6" fillId="0" borderId="0" xfId="0" applyNumberFormat="1" applyFont="1"/>
    <xf numFmtId="168" fontId="5" fillId="0" borderId="0" xfId="0" applyNumberFormat="1" applyFont="1"/>
    <xf numFmtId="0" fontId="3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0" fontId="33" fillId="0" borderId="0" xfId="1" applyNumberFormat="1" applyFont="1"/>
    <xf numFmtId="169" fontId="3" fillId="0" borderId="0" xfId="0" applyNumberFormat="1" applyFont="1"/>
    <xf numFmtId="0" fontId="3" fillId="6" borderId="0" xfId="0" applyFont="1" applyFill="1" applyAlignment="1">
      <alignment horizontal="center"/>
    </xf>
    <xf numFmtId="0" fontId="3" fillId="12" borderId="0" xfId="0" applyFont="1" applyFill="1"/>
    <xf numFmtId="0" fontId="26" fillId="12" borderId="0" xfId="0" applyFont="1" applyFill="1" applyAlignment="1">
      <alignment horizontal="center"/>
    </xf>
    <xf numFmtId="44" fontId="33" fillId="0" borderId="0" xfId="1" applyFont="1"/>
    <xf numFmtId="164" fontId="3" fillId="0" borderId="0" xfId="4"/>
    <xf numFmtId="9" fontId="33" fillId="0" borderId="0" xfId="4" applyNumberFormat="1" applyFont="1"/>
    <xf numFmtId="165" fontId="6" fillId="0" borderId="0" xfId="0" applyNumberFormat="1" applyFont="1"/>
    <xf numFmtId="165" fontId="31" fillId="0" borderId="0" xfId="0" applyNumberFormat="1" applyFont="1"/>
    <xf numFmtId="0" fontId="3" fillId="6" borderId="0" xfId="0" applyFont="1" applyFill="1"/>
    <xf numFmtId="0" fontId="5" fillId="17" borderId="0" xfId="0" applyFont="1" applyFill="1"/>
    <xf numFmtId="0" fontId="6" fillId="6" borderId="0" xfId="0" applyFont="1" applyFill="1"/>
    <xf numFmtId="0" fontId="4" fillId="7" borderId="0" xfId="0" applyFont="1" applyFill="1" applyAlignment="1">
      <alignment vertical="center"/>
    </xf>
    <xf numFmtId="0" fontId="35" fillId="15" borderId="0" xfId="0" applyFont="1" applyFill="1" applyAlignment="1">
      <alignment vertical="center"/>
    </xf>
    <xf numFmtId="0" fontId="29" fillId="15" borderId="0" xfId="0" applyFont="1" applyFill="1" applyAlignment="1">
      <alignment vertical="center"/>
    </xf>
    <xf numFmtId="0" fontId="36" fillId="0" borderId="0" xfId="0" applyFont="1"/>
    <xf numFmtId="0" fontId="34" fillId="0" borderId="0" xfId="0" applyFont="1"/>
    <xf numFmtId="170" fontId="28" fillId="0" borderId="0" xfId="0" applyNumberFormat="1" applyFont="1"/>
    <xf numFmtId="0" fontId="16" fillId="0" borderId="0" xfId="0" applyFont="1"/>
    <xf numFmtId="0" fontId="21" fillId="5" borderId="0" xfId="0" applyFont="1" applyFill="1"/>
    <xf numFmtId="0" fontId="6" fillId="5" borderId="0" xfId="0" applyFont="1" applyFill="1"/>
    <xf numFmtId="0" fontId="4" fillId="2" borderId="0" xfId="0" applyFont="1" applyFill="1" applyAlignment="1">
      <alignment horizontal="left" vertical="center" indent="1"/>
    </xf>
    <xf numFmtId="0" fontId="21" fillId="0" borderId="0" xfId="0" applyFont="1" applyAlignment="1">
      <alignment vertical="top" wrapText="1"/>
    </xf>
    <xf numFmtId="0" fontId="4" fillId="15" borderId="0" xfId="0" applyFont="1" applyFill="1" applyAlignment="1">
      <alignment horizontal="left" vertical="center" indent="1"/>
    </xf>
    <xf numFmtId="0" fontId="21" fillId="0" borderId="0" xfId="0" applyFont="1"/>
  </cellXfs>
  <cellStyles count="5">
    <cellStyle name="Currency" xfId="1" builtinId="4"/>
    <cellStyle name="Explanatory Text" xfId="3" builtinId="53"/>
    <cellStyle name="Normal" xfId="0" builtinId="0"/>
    <cellStyle name="Percent" xfId="2" builtinId="5" hidden="1" customBuiltin="1"/>
    <cellStyle name="Percent" xfId="4" xr:uid="{812DA94B-7C30-4106-9FF8-61D2C6D13A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-to-</a:t>
            </a:r>
            <a:r>
              <a:rPr lang="en-US" baseline="0"/>
              <a:t> EBITDA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DASHBOARD!$C$19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DASHBOARD!$D$19:$AB$19</c:f>
              <c:numCache>
                <c:formatCode>_("$"* #,##0_);_("$"* \(#,##0\);_("$"* "-"??_);_(@_)</c:formatCode>
                <c:ptCount val="25"/>
                <c:pt idx="1">
                  <c:v>110200</c:v>
                </c:pt>
                <c:pt idx="2">
                  <c:v>116280.46876247364</c:v>
                </c:pt>
                <c:pt idx="3">
                  <c:v>122680.56271096831</c:v>
                </c:pt>
                <c:pt idx="4">
                  <c:v>129416.65406663372</c:v>
                </c:pt>
                <c:pt idx="5">
                  <c:v>136505.94184142718</c:v>
                </c:pt>
                <c:pt idx="6">
                  <c:v>143966.49326642751</c:v>
                </c:pt>
                <c:pt idx="7">
                  <c:v>151817.28728735296</c:v>
                </c:pt>
                <c:pt idx="8">
                  <c:v>160078.26023020761</c:v>
                </c:pt>
                <c:pt idx="9">
                  <c:v>168770.35374509983</c:v>
                </c:pt>
                <c:pt idx="10">
                  <c:v>177915.5651416496</c:v>
                </c:pt>
                <c:pt idx="11">
                  <c:v>187537.00023504111</c:v>
                </c:pt>
                <c:pt idx="12">
                  <c:v>197658.9288276977</c:v>
                </c:pt>
                <c:pt idx="13">
                  <c:v>208306.84295777077</c:v>
                </c:pt>
                <c:pt idx="14">
                  <c:v>219507.51805215768</c:v>
                </c:pt>
                <c:pt idx="15">
                  <c:v>231289.07712861081</c:v>
                </c:pt>
                <c:pt idx="16">
                  <c:v>243681.05819868893</c:v>
                </c:pt>
                <c:pt idx="17">
                  <c:v>256714.48503084513</c:v>
                </c:pt>
                <c:pt idx="18">
                  <c:v>270421.94144086743</c:v>
                </c:pt>
                <c:pt idx="19">
                  <c:v>284837.64928519982</c:v>
                </c:pt>
                <c:pt idx="20">
                  <c:v>299997.55034139933</c:v>
                </c:pt>
                <c:pt idx="21">
                  <c:v>315939.39226914343</c:v>
                </c:pt>
                <c:pt idx="22">
                  <c:v>332702.81885481841</c:v>
                </c:pt>
                <c:pt idx="23">
                  <c:v>350329.46475281072</c:v>
                </c:pt>
                <c:pt idx="24">
                  <c:v>368863.05494721862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D-48F7-B54F-8F7C98821B40}"/>
            </c:ext>
          </c:extLst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DASHBOARD!$D$20:$AB$20</c:f>
              <c:numCache>
                <c:formatCode>_("$"* #,##0_);_("$"* \(#,##0\);_("$"* "-"??_);_(@_)</c:formatCode>
                <c:ptCount val="25"/>
                <c:pt idx="1">
                  <c:v>-48396</c:v>
                </c:pt>
                <c:pt idx="2">
                  <c:v>-51639.836527089748</c:v>
                </c:pt>
                <c:pt idx="3">
                  <c:v>-54739.892354291529</c:v>
                </c:pt>
                <c:pt idx="4">
                  <c:v>-57686.081839004328</c:v>
                </c:pt>
                <c:pt idx="5">
                  <c:v>-60467.775346686845</c:v>
                </c:pt>
                <c:pt idx="6">
                  <c:v>-63073.771096696713</c:v>
                </c:pt>
                <c:pt idx="7">
                  <c:v>-65492.265567087801</c:v>
                </c:pt>
                <c:pt idx="8">
                  <c:v>-67710.822384968371</c:v>
                </c:pt>
                <c:pt idx="9">
                  <c:v>-69716.339625294378</c:v>
                </c:pt>
                <c:pt idx="10">
                  <c:v>-71495.01543705599</c:v>
                </c:pt>
                <c:pt idx="11">
                  <c:v>-73032.311911701894</c:v>
                </c:pt>
                <c:pt idx="12">
                  <c:v>-74312.91710432223</c:v>
                </c:pt>
                <c:pt idx="13">
                  <c:v>-75320.705113569056</c:v>
                </c:pt>
                <c:pt idx="14">
                  <c:v>-76038.694121521461</c:v>
                </c:pt>
                <c:pt idx="15">
                  <c:v>-76449.002289689437</c:v>
                </c:pt>
                <c:pt idx="16">
                  <c:v>-76532.801402081153</c:v>
                </c:pt>
                <c:pt idx="17">
                  <c:v>-76270.268140726374</c:v>
                </c:pt>
                <c:pt idx="18">
                  <c:v>-75640.532873232296</c:v>
                </c:pt>
                <c:pt idx="19">
                  <c:v>-74621.625825841184</c:v>
                </c:pt>
                <c:pt idx="20">
                  <c:v>-73190.420509037911</c:v>
                </c:pt>
                <c:pt idx="21">
                  <c:v>-71322.57425601728</c:v>
                </c:pt>
                <c:pt idx="22">
                  <c:v>-68992.465727230883</c:v>
                </c:pt>
                <c:pt idx="23">
                  <c:v>-66173.129226796504</c:v>
                </c:pt>
                <c:pt idx="24">
                  <c:v>-62836.185668728489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D-48F7-B54F-8F7C9882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785151"/>
        <c:axId val="1954785631"/>
      </c:lineChart>
      <c:catAx>
        <c:axId val="1954785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785631"/>
        <c:crosses val="autoZero"/>
        <c:auto val="1"/>
        <c:lblAlgn val="ctr"/>
        <c:lblOffset val="100"/>
        <c:noMultiLvlLbl val="0"/>
      </c:catAx>
      <c:valAx>
        <c:axId val="19547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78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PAID VS ORGANIC TRAFFIC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DASHBOARD!$C$22</c:f>
              <c:strCache>
                <c:ptCount val="1"/>
                <c:pt idx="0">
                  <c:v>Paid Traffic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DASHBOARD!$D$22:$AB$22</c:f>
              <c:numCache>
                <c:formatCode>#,##0_);\(#,##0\)</c:formatCode>
                <c:ptCount val="25"/>
                <c:pt idx="1">
                  <c:v>3000</c:v>
                </c:pt>
                <c:pt idx="2">
                  <c:v>3103.0982493957499</c:v>
                </c:pt>
                <c:pt idx="3">
                  <c:v>3209.7395818009891</c:v>
                </c:pt>
                <c:pt idx="4">
                  <c:v>3320.0457591009649</c:v>
                </c:pt>
                <c:pt idx="5">
                  <c:v>3434.1427276599957</c:v>
                </c:pt>
                <c:pt idx="6">
                  <c:v>3552.1607621256258</c:v>
                </c:pt>
                <c:pt idx="7">
                  <c:v>3674.2346141747671</c:v>
                </c:pt>
                <c:pt idx="8">
                  <c:v>3800.5036663716628</c:v>
                </c:pt>
                <c:pt idx="9">
                  <c:v>3931.112091313345</c:v>
                </c:pt>
                <c:pt idx="10">
                  <c:v>4066.2090162443019</c:v>
                </c:pt>
                <c:pt idx="11">
                  <c:v>4205.9486933283024</c:v>
                </c:pt>
                <c:pt idx="12">
                  <c:v>4350.490675771799</c:v>
                </c:pt>
                <c:pt idx="13">
                  <c:v>4500.0000000000009</c:v>
                </c:pt>
                <c:pt idx="14">
                  <c:v>4654.6473740936253</c:v>
                </c:pt>
                <c:pt idx="15">
                  <c:v>4814.6093727014841</c:v>
                </c:pt>
                <c:pt idx="16">
                  <c:v>4980.0686386514481</c:v>
                </c:pt>
                <c:pt idx="17">
                  <c:v>5151.2140914899946</c:v>
                </c:pt>
                <c:pt idx="18">
                  <c:v>5328.2411431884402</c:v>
                </c:pt>
                <c:pt idx="19">
                  <c:v>5511.3519212621522</c:v>
                </c:pt>
                <c:pt idx="20">
                  <c:v>5700.7554995574956</c:v>
                </c:pt>
                <c:pt idx="21">
                  <c:v>5896.6681369700191</c:v>
                </c:pt>
                <c:pt idx="22">
                  <c:v>6099.3135243664547</c:v>
                </c:pt>
                <c:pt idx="23">
                  <c:v>6308.9230399924554</c:v>
                </c:pt>
                <c:pt idx="24">
                  <c:v>6525.7360136576999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5-4CE9-A49D-6D9C0C92D96B}"/>
            </c:ext>
          </c:extLst>
        </c:ser>
        <c:ser>
          <c:idx val="1"/>
          <c:order val="1"/>
          <c:tx>
            <c:strRef>
              <c:f>DASHBOARD!$C$23</c:f>
              <c:strCache>
                <c:ptCount val="1"/>
                <c:pt idx="0">
                  <c:v>Organic Traffic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DASHBOARD!$D$23:$AB$23</c:f>
              <c:numCache>
                <c:formatCode>#,##0_);\(#,##0\)</c:formatCode>
                <c:ptCount val="25"/>
                <c:pt idx="1">
                  <c:v>2000</c:v>
                </c:pt>
                <c:pt idx="2">
                  <c:v>2089.3518161429834</c:v>
                </c:pt>
                <c:pt idx="3">
                  <c:v>2182.6955058099911</c:v>
                </c:pt>
                <c:pt idx="4">
                  <c:v>2280.2094095756161</c:v>
                </c:pt>
                <c:pt idx="5">
                  <c:v>2382.0798355415664</c:v>
                </c:pt>
                <c:pt idx="6">
                  <c:v>2488.5014152931753</c:v>
                </c:pt>
                <c:pt idx="7">
                  <c:v>2599.6774757585899</c:v>
                </c:pt>
                <c:pt idx="8">
                  <c:v>2715.820427681108</c:v>
                </c:pt>
                <c:pt idx="9">
                  <c:v>2837.1521714468681</c:v>
                </c:pt>
                <c:pt idx="10">
                  <c:v>2963.904521043261</c:v>
                </c:pt>
                <c:pt idx="11">
                  <c:v>3096.319646958068</c:v>
                </c:pt>
                <c:pt idx="12">
                  <c:v>3234.65053886552</c:v>
                </c:pt>
                <c:pt idx="13">
                  <c:v>3379.1614889832767</c:v>
                </c:pt>
                <c:pt idx="14">
                  <c:v>3530.1285970238182</c:v>
                </c:pt>
                <c:pt idx="15">
                  <c:v>3687.8402977049977</c:v>
                </c:pt>
                <c:pt idx="16">
                  <c:v>3852.5979118276082</c:v>
                </c:pt>
                <c:pt idx="17">
                  <c:v>4024.7162219728389</c:v>
                </c:pt>
                <c:pt idx="18">
                  <c:v>4204.5240739195388</c:v>
                </c:pt>
                <c:pt idx="19">
                  <c:v>4392.3650049303415</c:v>
                </c:pt>
                <c:pt idx="20">
                  <c:v>4588.5979001070464</c:v>
                </c:pt>
                <c:pt idx="21">
                  <c:v>4793.5976780692681</c:v>
                </c:pt>
                <c:pt idx="22">
                  <c:v>5007.7560072664064</c:v>
                </c:pt>
                <c:pt idx="23">
                  <c:v>5231.4820542915004</c:v>
                </c:pt>
                <c:pt idx="24">
                  <c:v>5465.2032656266856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5-4CE9-A49D-6D9C0C92D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501039"/>
        <c:axId val="2061500079"/>
      </c:barChart>
      <c:catAx>
        <c:axId val="206150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500079"/>
        <c:crosses val="autoZero"/>
        <c:auto val="1"/>
        <c:lblAlgn val="ctr"/>
        <c:lblOffset val="100"/>
        <c:noMultiLvlLbl val="0"/>
      </c:catAx>
      <c:valAx>
        <c:axId val="20615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50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472440</xdr:colOff>
      <xdr:row>2</xdr:row>
      <xdr:rowOff>114300</xdr:rowOff>
    </xdr:from>
    <xdr:to>
      <xdr:col>15</xdr:col>
      <xdr:colOff>236220</xdr:colOff>
      <xdr:row>19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A2FDB2-CBFC-8AD5-EB85-99E6A63F8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4680" y="510540"/>
          <a:ext cx="7772400" cy="3314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25</xdr:row>
      <xdr:rowOff>140970</xdr:rowOff>
    </xdr:from>
    <xdr:to>
      <xdr:col>6</xdr:col>
      <xdr:colOff>331470</xdr:colOff>
      <xdr:row>39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D78A81-0A8A-F422-4FE0-5E9D0671D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240030</xdr:colOff>
      <xdr:row>25</xdr:row>
      <xdr:rowOff>95250</xdr:rowOff>
    </xdr:from>
    <xdr:to>
      <xdr:col>11</xdr:col>
      <xdr:colOff>575310</xdr:colOff>
      <xdr:row>39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9BACBB-AFE9-EA5F-14C3-91A81C66A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699A-212F-406B-8EA7-C1103B5BC381}">
  <dimension ref="D22:O45"/>
  <sheetViews>
    <sheetView showGridLines="0" topLeftCell="A22" workbookViewId="0">
      <selection activeCell="L33" sqref="L33"/>
    </sheetView>
  </sheetViews>
  <sheetFormatPr defaultRowHeight="15.6" x14ac:dyDescent="0.3"/>
  <cols>
    <col min="4" max="4" width="8.796875" customWidth="1"/>
    <col min="8" max="8" width="17.09765625" customWidth="1"/>
    <col min="9" max="9" width="8.796875" customWidth="1"/>
  </cols>
  <sheetData>
    <row r="22" spans="4:14" ht="20.399999999999999" x14ac:dyDescent="0.35">
      <c r="J22" s="16" t="s">
        <v>23</v>
      </c>
      <c r="L22" s="16"/>
      <c r="M22" s="16"/>
    </row>
    <row r="23" spans="4:14" x14ac:dyDescent="0.3">
      <c r="J23" s="17" t="s">
        <v>24</v>
      </c>
      <c r="L23" s="17"/>
      <c r="M23" s="17"/>
    </row>
    <row r="24" spans="4:14" ht="21" x14ac:dyDescent="0.4">
      <c r="H24" s="14"/>
      <c r="I24" s="14"/>
    </row>
    <row r="25" spans="4:14" x14ac:dyDescent="0.3">
      <c r="H25" s="15"/>
      <c r="I25" s="15"/>
    </row>
    <row r="26" spans="4:14" x14ac:dyDescent="0.3">
      <c r="D26" s="12"/>
      <c r="E26" s="12"/>
      <c r="F26" s="12"/>
      <c r="G26" s="12"/>
      <c r="H26" s="12"/>
      <c r="I26" s="12"/>
    </row>
    <row r="27" spans="4:14" x14ac:dyDescent="0.3">
      <c r="D27" s="12"/>
      <c r="E27" s="12"/>
      <c r="F27" s="12"/>
      <c r="G27" s="12"/>
      <c r="H27" s="12"/>
      <c r="I27" s="12"/>
    </row>
    <row r="28" spans="4:14" x14ac:dyDescent="0.3">
      <c r="G28" s="25" t="s">
        <v>33</v>
      </c>
      <c r="K28" s="13"/>
      <c r="L28" s="26" t="s">
        <v>25</v>
      </c>
      <c r="N28" s="13"/>
    </row>
    <row r="29" spans="4:14" x14ac:dyDescent="0.3">
      <c r="G29" s="25" t="s">
        <v>34</v>
      </c>
      <c r="K29" s="13"/>
      <c r="L29" s="26" t="s">
        <v>26</v>
      </c>
      <c r="N29" s="13"/>
    </row>
    <row r="30" spans="4:14" x14ac:dyDescent="0.3">
      <c r="G30" s="25" t="s">
        <v>35</v>
      </c>
      <c r="K30" s="13"/>
      <c r="L30" s="26" t="s">
        <v>27</v>
      </c>
      <c r="N30" s="13"/>
    </row>
    <row r="31" spans="4:14" x14ac:dyDescent="0.3">
      <c r="G31" s="25" t="s">
        <v>36</v>
      </c>
      <c r="K31" s="13"/>
      <c r="L31" s="26" t="s">
        <v>28</v>
      </c>
      <c r="N31" s="13"/>
    </row>
    <row r="32" spans="4:14" x14ac:dyDescent="0.3">
      <c r="G32" s="25" t="s">
        <v>37</v>
      </c>
      <c r="K32" s="13"/>
      <c r="L32" s="26" t="s">
        <v>111</v>
      </c>
      <c r="N32" s="13"/>
    </row>
    <row r="33" spans="7:15" x14ac:dyDescent="0.3">
      <c r="G33" s="25" t="s">
        <v>38</v>
      </c>
      <c r="K33" s="13"/>
      <c r="L33" s="26" t="s">
        <v>43</v>
      </c>
      <c r="N33" s="13"/>
    </row>
    <row r="34" spans="7:15" x14ac:dyDescent="0.3">
      <c r="G34" s="25" t="s">
        <v>39</v>
      </c>
      <c r="K34" s="13"/>
      <c r="L34" s="26" t="s">
        <v>29</v>
      </c>
      <c r="N34" s="13"/>
    </row>
    <row r="35" spans="7:15" x14ac:dyDescent="0.3">
      <c r="G35" s="25" t="s">
        <v>40</v>
      </c>
      <c r="K35" s="13"/>
      <c r="L35" s="26" t="s">
        <v>30</v>
      </c>
      <c r="N35" s="13"/>
    </row>
    <row r="36" spans="7:15" x14ac:dyDescent="0.3">
      <c r="G36" s="25" t="s">
        <v>41</v>
      </c>
      <c r="K36" s="13"/>
      <c r="L36" s="26" t="s">
        <v>31</v>
      </c>
      <c r="N36" s="13"/>
    </row>
    <row r="37" spans="7:15" x14ac:dyDescent="0.3">
      <c r="G37" s="25" t="s">
        <v>42</v>
      </c>
      <c r="K37" s="13"/>
      <c r="L37" s="26" t="s">
        <v>32</v>
      </c>
      <c r="N37" s="13"/>
    </row>
    <row r="38" spans="7:15" x14ac:dyDescent="0.3">
      <c r="H38" s="12"/>
      <c r="J38" s="12"/>
      <c r="K38" s="12"/>
      <c r="L38" s="12"/>
      <c r="M38" s="12"/>
      <c r="N38" s="12"/>
    </row>
    <row r="39" spans="7:15" x14ac:dyDescent="0.3">
      <c r="G39" s="18"/>
      <c r="H39" s="19"/>
      <c r="I39" s="18"/>
      <c r="J39" s="19"/>
      <c r="K39" s="19"/>
      <c r="L39" s="19"/>
      <c r="M39" s="19"/>
      <c r="N39" s="19"/>
      <c r="O39" s="18"/>
    </row>
    <row r="40" spans="7:15" x14ac:dyDescent="0.3">
      <c r="G40" s="18"/>
      <c r="H40" s="20"/>
      <c r="I40" s="18"/>
      <c r="J40" s="20"/>
      <c r="K40" s="20"/>
      <c r="L40" s="20"/>
      <c r="M40" s="20"/>
      <c r="N40" s="20"/>
      <c r="O40" s="18"/>
    </row>
    <row r="41" spans="7:15" x14ac:dyDescent="0.3">
      <c r="G41" s="18"/>
      <c r="H41" s="21"/>
      <c r="I41" s="18"/>
      <c r="J41" s="18"/>
      <c r="K41" s="22"/>
      <c r="L41" s="20"/>
      <c r="M41" s="20"/>
      <c r="N41" s="20"/>
      <c r="O41" s="18"/>
    </row>
    <row r="42" spans="7:15" x14ac:dyDescent="0.3">
      <c r="G42" s="18"/>
      <c r="H42" s="22"/>
      <c r="I42" s="18"/>
      <c r="J42" s="18"/>
      <c r="K42" s="22"/>
      <c r="L42" s="20"/>
      <c r="M42" s="20"/>
      <c r="N42" s="20"/>
      <c r="O42" s="18"/>
    </row>
    <row r="43" spans="7:15" x14ac:dyDescent="0.3">
      <c r="G43" s="18"/>
      <c r="H43" s="23"/>
      <c r="I43" s="18"/>
      <c r="J43" s="18"/>
      <c r="K43" s="22"/>
      <c r="L43" s="20"/>
      <c r="M43" s="20"/>
      <c r="N43" s="20"/>
      <c r="O43" s="18"/>
    </row>
    <row r="44" spans="7:15" x14ac:dyDescent="0.3">
      <c r="G44" s="18"/>
      <c r="H44" s="24"/>
      <c r="I44" s="18"/>
      <c r="J44" s="18"/>
      <c r="K44" s="22"/>
      <c r="L44" s="20"/>
      <c r="M44" s="20"/>
      <c r="N44" s="20"/>
      <c r="O44" s="18"/>
    </row>
    <row r="45" spans="7:15" x14ac:dyDescent="0.3">
      <c r="G45" s="18"/>
      <c r="H45" s="18"/>
      <c r="I45" s="18"/>
      <c r="J45" s="18"/>
      <c r="K45" s="18"/>
      <c r="L45" s="18"/>
      <c r="M45" s="18"/>
      <c r="N45" s="18"/>
      <c r="O45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72F4-CBED-4FB9-99E0-8DFDF4D70589}">
  <dimension ref="B4:L21"/>
  <sheetViews>
    <sheetView showGridLines="0" topLeftCell="A13" workbookViewId="0">
      <selection activeCell="C19" sqref="C19"/>
    </sheetView>
  </sheetViews>
  <sheetFormatPr defaultRowHeight="15.6" x14ac:dyDescent="0.3"/>
  <cols>
    <col min="2" max="2" width="25.09765625" customWidth="1"/>
    <col min="3" max="3" width="15.19921875" bestFit="1" customWidth="1"/>
    <col min="7" max="7" width="68.09765625" customWidth="1"/>
  </cols>
  <sheetData>
    <row r="4" spans="2:12" ht="21" x14ac:dyDescent="0.4">
      <c r="B4" s="2" t="s">
        <v>0</v>
      </c>
      <c r="C4" s="2"/>
      <c r="D4" s="2"/>
      <c r="E4" s="1"/>
      <c r="F4" s="1"/>
      <c r="G4" s="1"/>
    </row>
    <row r="6" spans="2:12" s="9" customFormat="1" x14ac:dyDescent="0.3">
      <c r="B6" s="10" t="s">
        <v>1</v>
      </c>
      <c r="C6" s="7"/>
      <c r="D6" s="7"/>
      <c r="E6" s="7"/>
      <c r="F6" s="7"/>
      <c r="G6" s="7"/>
      <c r="H6" s="8"/>
      <c r="I6" s="8"/>
      <c r="J6" s="8"/>
      <c r="K6" s="8"/>
      <c r="L6" s="8"/>
    </row>
    <row r="7" spans="2:12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x14ac:dyDescent="0.3">
      <c r="B8" s="5" t="s">
        <v>12</v>
      </c>
      <c r="C8" s="6" t="s">
        <v>2</v>
      </c>
      <c r="D8" s="6"/>
      <c r="E8" s="6"/>
      <c r="F8" s="6"/>
      <c r="G8" s="6"/>
      <c r="H8" s="3"/>
      <c r="I8" s="3"/>
      <c r="J8" s="3"/>
      <c r="K8" s="3"/>
      <c r="L8" s="3"/>
    </row>
    <row r="9" spans="2:12" x14ac:dyDescent="0.3">
      <c r="B9" s="5" t="s">
        <v>13</v>
      </c>
      <c r="C9" s="6" t="s">
        <v>3</v>
      </c>
      <c r="D9" s="6"/>
      <c r="E9" s="6"/>
      <c r="F9" s="6"/>
      <c r="G9" s="6"/>
      <c r="H9" s="3"/>
      <c r="I9" s="3"/>
      <c r="J9" s="3"/>
      <c r="K9" s="3"/>
      <c r="L9" s="3"/>
    </row>
    <row r="10" spans="2:12" x14ac:dyDescent="0.3">
      <c r="B10" s="5" t="s">
        <v>14</v>
      </c>
      <c r="C10" s="6" t="s">
        <v>4</v>
      </c>
      <c r="D10" s="6"/>
      <c r="E10" s="6"/>
      <c r="F10" s="6"/>
      <c r="G10" s="6"/>
      <c r="H10" s="3"/>
      <c r="I10" s="3"/>
      <c r="J10" s="3"/>
      <c r="K10" s="3"/>
      <c r="L10" s="3"/>
    </row>
    <row r="11" spans="2:12" x14ac:dyDescent="0.3">
      <c r="B11" s="5" t="s">
        <v>15</v>
      </c>
      <c r="C11" s="6" t="s">
        <v>5</v>
      </c>
      <c r="D11" s="6"/>
      <c r="E11" s="6"/>
      <c r="F11" s="6"/>
      <c r="G11" s="6"/>
      <c r="H11" s="3"/>
      <c r="I11" s="3"/>
      <c r="J11" s="3"/>
      <c r="K11" s="3"/>
      <c r="L11" s="3"/>
    </row>
    <row r="12" spans="2:12" x14ac:dyDescent="0.3">
      <c r="B12" s="5" t="s">
        <v>16</v>
      </c>
      <c r="C12" s="6" t="s">
        <v>6</v>
      </c>
      <c r="D12" s="6"/>
      <c r="E12" s="6"/>
      <c r="F12" s="6"/>
      <c r="G12" s="6"/>
      <c r="H12" s="3"/>
      <c r="I12" s="3"/>
      <c r="J12" s="3"/>
      <c r="K12" s="3"/>
      <c r="L12" s="3"/>
    </row>
    <row r="13" spans="2:12" x14ac:dyDescent="0.3">
      <c r="B13" s="5" t="s">
        <v>17</v>
      </c>
      <c r="C13" s="6" t="s">
        <v>7</v>
      </c>
      <c r="D13" s="6"/>
      <c r="E13" s="6"/>
      <c r="F13" s="6"/>
      <c r="G13" s="6"/>
      <c r="H13" s="3"/>
      <c r="I13" s="3"/>
      <c r="J13" s="3"/>
      <c r="K13" s="3"/>
      <c r="L13" s="3"/>
    </row>
    <row r="14" spans="2:12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2" x14ac:dyDescent="0.3">
      <c r="B15" s="11" t="s">
        <v>8</v>
      </c>
      <c r="C15" s="4"/>
      <c r="D15" s="4"/>
      <c r="E15" s="4"/>
      <c r="F15" s="4"/>
      <c r="G15" s="4"/>
      <c r="H15" s="3"/>
      <c r="I15" s="3"/>
      <c r="J15" s="3"/>
      <c r="K15" s="3"/>
      <c r="L15" s="3"/>
    </row>
    <row r="16" spans="2:12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x14ac:dyDescent="0.3">
      <c r="B17" s="5" t="s">
        <v>18</v>
      </c>
      <c r="C17" s="6" t="s">
        <v>9</v>
      </c>
      <c r="D17" s="6"/>
      <c r="E17" s="6"/>
      <c r="F17" s="6"/>
      <c r="G17" s="6"/>
      <c r="H17" s="3"/>
      <c r="I17" s="3"/>
      <c r="J17" s="3"/>
      <c r="K17" s="3"/>
      <c r="L17" s="3"/>
    </row>
    <row r="18" spans="2:12" x14ac:dyDescent="0.3">
      <c r="B18" s="5" t="s">
        <v>19</v>
      </c>
      <c r="C18" s="6" t="s">
        <v>10</v>
      </c>
      <c r="D18" s="6"/>
      <c r="E18" s="6"/>
      <c r="F18" s="6"/>
      <c r="G18" s="6"/>
      <c r="H18" s="3"/>
      <c r="I18" s="3"/>
      <c r="J18" s="3"/>
      <c r="K18" s="3"/>
      <c r="L18" s="3"/>
    </row>
    <row r="19" spans="2:12" x14ac:dyDescent="0.3">
      <c r="B19" s="5" t="s">
        <v>20</v>
      </c>
      <c r="C19" s="6" t="s">
        <v>11</v>
      </c>
      <c r="D19" s="6"/>
      <c r="E19" s="6"/>
      <c r="F19" s="6"/>
      <c r="G19" s="6"/>
      <c r="H19" s="3"/>
      <c r="I19" s="3"/>
      <c r="J19" s="3"/>
      <c r="K19" s="3"/>
      <c r="L19" s="3"/>
    </row>
    <row r="20" spans="2:12" x14ac:dyDescent="0.3">
      <c r="B20" s="5" t="s">
        <v>21</v>
      </c>
      <c r="C20" s="116" t="s">
        <v>22</v>
      </c>
      <c r="D20" s="116"/>
      <c r="E20" s="116"/>
      <c r="F20" s="116"/>
      <c r="G20" s="116"/>
      <c r="H20" s="3"/>
      <c r="I20" s="3"/>
      <c r="J20" s="3"/>
      <c r="K20" s="3"/>
      <c r="L20" s="3"/>
    </row>
    <row r="21" spans="2:12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mergeCells count="1">
    <mergeCell ref="C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D8AA-BE7B-4D5C-BF7F-20AA21169A11}">
  <dimension ref="B2:AB86"/>
  <sheetViews>
    <sheetView showGridLines="0" workbookViewId="0">
      <selection activeCell="B84" sqref="B84:H86"/>
    </sheetView>
  </sheetViews>
  <sheetFormatPr defaultRowHeight="15.6" x14ac:dyDescent="0.3"/>
  <cols>
    <col min="1" max="1" width="2" style="3" customWidth="1"/>
    <col min="2" max="2" width="61.296875" style="3" bestFit="1" customWidth="1"/>
    <col min="3" max="3" width="10.8984375" style="3" bestFit="1" customWidth="1"/>
    <col min="4" max="4" width="8.09765625" style="3" customWidth="1"/>
    <col min="5" max="5" width="7.3984375" style="3" customWidth="1"/>
    <col min="6" max="6" width="15.5" style="3" customWidth="1"/>
    <col min="7" max="16384" width="8.796875" style="3"/>
  </cols>
  <sheetData>
    <row r="2" spans="2:6" x14ac:dyDescent="0.3">
      <c r="B2" s="27" t="s">
        <v>44</v>
      </c>
    </row>
    <row r="4" spans="2:6" x14ac:dyDescent="0.3">
      <c r="B4" s="28" t="s">
        <v>45</v>
      </c>
    </row>
    <row r="6" spans="2:6" x14ac:dyDescent="0.3">
      <c r="B6" s="29" t="s">
        <v>46</v>
      </c>
      <c r="C6" s="30" t="s">
        <v>47</v>
      </c>
      <c r="D6" s="28" t="s">
        <v>48</v>
      </c>
    </row>
    <row r="8" spans="2:6" x14ac:dyDescent="0.3">
      <c r="B8" s="31" t="s">
        <v>49</v>
      </c>
      <c r="C8" s="32" t="s">
        <v>50</v>
      </c>
      <c r="D8" s="32" t="s">
        <v>47</v>
      </c>
      <c r="E8" s="32" t="s">
        <v>51</v>
      </c>
      <c r="F8" s="32" t="s">
        <v>52</v>
      </c>
    </row>
    <row r="9" spans="2:6" x14ac:dyDescent="0.3">
      <c r="B9" s="6" t="s">
        <v>53</v>
      </c>
      <c r="C9" s="33">
        <v>0.2</v>
      </c>
      <c r="D9" s="33">
        <v>0.12</v>
      </c>
      <c r="E9" s="33">
        <v>0.08</v>
      </c>
      <c r="F9" s="34">
        <f>INDEX(C9:E9,MATCH($C$6,$C$8:$E$8,0))</f>
        <v>0.12</v>
      </c>
    </row>
    <row r="10" spans="2:6" x14ac:dyDescent="0.3">
      <c r="B10" s="6" t="s">
        <v>54</v>
      </c>
      <c r="C10" s="33">
        <v>0.15</v>
      </c>
      <c r="D10" s="33">
        <v>0.1</v>
      </c>
      <c r="E10" s="33">
        <v>0.06</v>
      </c>
      <c r="F10" s="34">
        <f t="shared" ref="F10:F16" si="0">INDEX(C10:E10,MATCH($C$6,$C$8:$E$8,0))</f>
        <v>0.1</v>
      </c>
    </row>
    <row r="11" spans="2:6" x14ac:dyDescent="0.3">
      <c r="B11" s="6" t="s">
        <v>55</v>
      </c>
      <c r="C11" s="33">
        <v>0.25</v>
      </c>
      <c r="D11" s="33">
        <v>0.5</v>
      </c>
      <c r="E11" s="33">
        <v>0.8</v>
      </c>
      <c r="F11" s="34">
        <f t="shared" si="0"/>
        <v>0.5</v>
      </c>
    </row>
    <row r="12" spans="2:6" x14ac:dyDescent="0.3">
      <c r="B12" s="6" t="s">
        <v>56</v>
      </c>
      <c r="C12" s="35">
        <v>0.7</v>
      </c>
      <c r="D12" s="35">
        <v>1</v>
      </c>
      <c r="E12" s="35">
        <v>1.3</v>
      </c>
      <c r="F12" s="36">
        <f t="shared" si="0"/>
        <v>1</v>
      </c>
    </row>
    <row r="13" spans="2:6" x14ac:dyDescent="0.3">
      <c r="B13" s="6" t="s">
        <v>57</v>
      </c>
      <c r="C13" s="35">
        <v>1.1499999999999999</v>
      </c>
      <c r="D13" s="35">
        <v>1</v>
      </c>
      <c r="E13" s="35">
        <v>0.9</v>
      </c>
      <c r="F13" s="36">
        <f t="shared" si="0"/>
        <v>1</v>
      </c>
    </row>
    <row r="14" spans="2:6" x14ac:dyDescent="0.3">
      <c r="B14" s="6" t="s">
        <v>58</v>
      </c>
      <c r="C14" s="33">
        <v>0.02</v>
      </c>
      <c r="D14" s="33">
        <v>0.03</v>
      </c>
      <c r="E14" s="33">
        <v>0.05</v>
      </c>
      <c r="F14" s="34">
        <f t="shared" si="0"/>
        <v>0.03</v>
      </c>
    </row>
    <row r="15" spans="2:6" x14ac:dyDescent="0.3">
      <c r="B15" s="6" t="s">
        <v>59</v>
      </c>
      <c r="C15" s="35">
        <v>0.8</v>
      </c>
      <c r="D15" s="35">
        <v>1</v>
      </c>
      <c r="E15" s="35">
        <v>1.3</v>
      </c>
      <c r="F15" s="36">
        <f t="shared" si="0"/>
        <v>1</v>
      </c>
    </row>
    <row r="16" spans="2:6" x14ac:dyDescent="0.3">
      <c r="B16" s="6" t="s">
        <v>60</v>
      </c>
      <c r="C16" s="35">
        <v>0.7</v>
      </c>
      <c r="D16" s="35">
        <v>1</v>
      </c>
      <c r="E16" s="35">
        <v>1.3</v>
      </c>
      <c r="F16" s="36">
        <f t="shared" si="0"/>
        <v>1</v>
      </c>
    </row>
    <row r="18" spans="2:28" x14ac:dyDescent="0.3">
      <c r="B18" s="115"/>
      <c r="C18" s="105"/>
      <c r="D18" s="105"/>
      <c r="E18" s="105"/>
    </row>
    <row r="20" spans="2:28" x14ac:dyDescent="0.3">
      <c r="B20" s="117" t="s">
        <v>61</v>
      </c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2" spans="2:28" x14ac:dyDescent="0.3">
      <c r="B22" s="46" t="s">
        <v>62</v>
      </c>
      <c r="C22" s="37">
        <f>(1+ASSUMPTIONS!$F$11)^(1/12)-1</f>
        <v>3.436608313191658E-2</v>
      </c>
    </row>
    <row r="23" spans="2:28" x14ac:dyDescent="0.3">
      <c r="B23" s="46" t="s">
        <v>63</v>
      </c>
      <c r="C23" s="35">
        <v>1.3</v>
      </c>
    </row>
    <row r="24" spans="2:28" x14ac:dyDescent="0.3">
      <c r="B24" s="46" t="s">
        <v>64</v>
      </c>
      <c r="C24" s="37">
        <f>(1+ASSUMPTIONS!$F$14)^(1/12)-1</f>
        <v>2.4662697723036864E-3</v>
      </c>
    </row>
    <row r="25" spans="2:28" x14ac:dyDescent="0.3">
      <c r="B25" s="46" t="s">
        <v>65</v>
      </c>
      <c r="C25" s="37">
        <f>(1+ASSUMPTIONS!$F$9)^(1/12)-1</f>
        <v>9.4887929345830457E-3</v>
      </c>
    </row>
    <row r="26" spans="2:28" x14ac:dyDescent="0.3">
      <c r="B26" s="46" t="s">
        <v>66</v>
      </c>
      <c r="C26" s="37">
        <f>(1+ASSUMPTIONS!$F$10)^(1/12)-1</f>
        <v>7.9741404289037643E-3</v>
      </c>
    </row>
    <row r="28" spans="2:28" x14ac:dyDescent="0.3">
      <c r="B28" s="117" t="s">
        <v>67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30" spans="2:28" x14ac:dyDescent="0.3">
      <c r="B30" s="6" t="s">
        <v>68</v>
      </c>
      <c r="C30" s="38">
        <v>2000000</v>
      </c>
    </row>
    <row r="31" spans="2:28" x14ac:dyDescent="0.3">
      <c r="B31" s="6" t="s">
        <v>69</v>
      </c>
      <c r="C31" s="33">
        <v>0.15</v>
      </c>
    </row>
    <row r="32" spans="2:28" x14ac:dyDescent="0.3">
      <c r="B32" s="6" t="s">
        <v>70</v>
      </c>
      <c r="C32" s="39">
        <f>C30/C31</f>
        <v>13333333.333333334</v>
      </c>
    </row>
    <row r="33" spans="2:28" x14ac:dyDescent="0.3">
      <c r="B33" s="6" t="s">
        <v>71</v>
      </c>
      <c r="C33" s="39">
        <f>C32-C30</f>
        <v>11333333.333333334</v>
      </c>
    </row>
    <row r="34" spans="2:28" x14ac:dyDescent="0.3">
      <c r="B34" s="6" t="s">
        <v>72</v>
      </c>
      <c r="C34" s="40">
        <f>1-C31</f>
        <v>0.85</v>
      </c>
    </row>
    <row r="36" spans="2:28" x14ac:dyDescent="0.3">
      <c r="B36" s="117" t="s">
        <v>73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</row>
    <row r="38" spans="2:28" x14ac:dyDescent="0.3">
      <c r="B38" s="6" t="s">
        <v>74</v>
      </c>
      <c r="C38" s="38">
        <v>1100</v>
      </c>
    </row>
    <row r="39" spans="2:28" x14ac:dyDescent="0.3">
      <c r="B39" s="6" t="s">
        <v>75</v>
      </c>
      <c r="C39" s="38">
        <v>3000</v>
      </c>
    </row>
    <row r="40" spans="2:28" x14ac:dyDescent="0.3">
      <c r="B40" s="6" t="s">
        <v>76</v>
      </c>
      <c r="C40" s="41">
        <v>433</v>
      </c>
    </row>
    <row r="41" spans="2:28" x14ac:dyDescent="0.3">
      <c r="B41" s="6" t="s">
        <v>77</v>
      </c>
      <c r="C41" s="41">
        <v>970</v>
      </c>
    </row>
    <row r="42" spans="2:28" x14ac:dyDescent="0.3">
      <c r="B42" s="6" t="s">
        <v>78</v>
      </c>
      <c r="C42" s="41">
        <v>25</v>
      </c>
    </row>
    <row r="44" spans="2:28" x14ac:dyDescent="0.3">
      <c r="B44" s="117" t="s">
        <v>79</v>
      </c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</row>
    <row r="46" spans="2:28" x14ac:dyDescent="0.3">
      <c r="B46" s="6" t="s">
        <v>80</v>
      </c>
      <c r="C46" s="42">
        <v>3000</v>
      </c>
    </row>
    <row r="47" spans="2:28" x14ac:dyDescent="0.3">
      <c r="B47" s="6" t="s">
        <v>81</v>
      </c>
      <c r="C47" s="42">
        <v>2000</v>
      </c>
    </row>
    <row r="48" spans="2:28" x14ac:dyDescent="0.3">
      <c r="B48" s="6" t="s">
        <v>82</v>
      </c>
      <c r="C48" s="43">
        <v>1.2E-2</v>
      </c>
    </row>
    <row r="49" spans="2:28" x14ac:dyDescent="0.3">
      <c r="B49" s="6" t="s">
        <v>83</v>
      </c>
      <c r="C49" s="43">
        <v>2.8000000000000001E-2</v>
      </c>
    </row>
    <row r="50" spans="2:28" x14ac:dyDescent="0.3">
      <c r="B50" s="6" t="s">
        <v>84</v>
      </c>
      <c r="C50" s="43">
        <v>2.0000000000000001E-4</v>
      </c>
    </row>
    <row r="51" spans="2:28" x14ac:dyDescent="0.3">
      <c r="B51" s="6" t="s">
        <v>85</v>
      </c>
      <c r="C51" s="43">
        <v>2.9999999999999997E-4</v>
      </c>
    </row>
    <row r="52" spans="2:28" x14ac:dyDescent="0.3">
      <c r="B52" s="6" t="s">
        <v>86</v>
      </c>
      <c r="C52" s="41">
        <v>0.35</v>
      </c>
    </row>
    <row r="53" spans="2:28" x14ac:dyDescent="0.3">
      <c r="B53" s="6" t="s">
        <v>87</v>
      </c>
      <c r="C53" s="38">
        <v>2500</v>
      </c>
    </row>
    <row r="54" spans="2:28" x14ac:dyDescent="0.3">
      <c r="B54" s="6" t="s">
        <v>88</v>
      </c>
      <c r="C54" s="44">
        <v>3</v>
      </c>
    </row>
    <row r="56" spans="2:28" x14ac:dyDescent="0.3">
      <c r="B56" s="117" t="s">
        <v>89</v>
      </c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</row>
    <row r="58" spans="2:28" x14ac:dyDescent="0.3">
      <c r="B58" s="6" t="s">
        <v>90</v>
      </c>
      <c r="C58" s="38">
        <v>55000</v>
      </c>
    </row>
    <row r="59" spans="2:28" x14ac:dyDescent="0.3">
      <c r="B59" s="6" t="s">
        <v>91</v>
      </c>
      <c r="C59" s="38">
        <v>15000</v>
      </c>
    </row>
    <row r="60" spans="2:28" x14ac:dyDescent="0.3">
      <c r="B60" s="6" t="s">
        <v>92</v>
      </c>
      <c r="C60" s="38">
        <v>12000</v>
      </c>
    </row>
    <row r="61" spans="2:28" x14ac:dyDescent="0.3">
      <c r="B61" s="6" t="s">
        <v>93</v>
      </c>
      <c r="C61" s="38">
        <v>10000</v>
      </c>
    </row>
    <row r="62" spans="2:28" x14ac:dyDescent="0.3">
      <c r="B62" s="6" t="s">
        <v>94</v>
      </c>
      <c r="C62" s="38">
        <v>1500</v>
      </c>
    </row>
    <row r="63" spans="2:28" x14ac:dyDescent="0.3">
      <c r="B63" s="6" t="s">
        <v>95</v>
      </c>
      <c r="C63" s="38">
        <v>3500</v>
      </c>
    </row>
    <row r="64" spans="2:28" x14ac:dyDescent="0.3">
      <c r="B64" s="6" t="s">
        <v>96</v>
      </c>
      <c r="C64" s="38">
        <v>6500</v>
      </c>
    </row>
    <row r="65" spans="2:28" x14ac:dyDescent="0.3">
      <c r="B65" s="6" t="s">
        <v>97</v>
      </c>
      <c r="C65" s="38">
        <v>5500</v>
      </c>
    </row>
    <row r="66" spans="2:28" x14ac:dyDescent="0.3">
      <c r="B66" s="6" t="s">
        <v>98</v>
      </c>
      <c r="C66" s="38">
        <v>2500</v>
      </c>
    </row>
    <row r="67" spans="2:28" x14ac:dyDescent="0.3">
      <c r="B67" s="6" t="s">
        <v>99</v>
      </c>
      <c r="C67" s="38">
        <v>12000</v>
      </c>
    </row>
    <row r="68" spans="2:28" x14ac:dyDescent="0.3">
      <c r="B68" s="6" t="s">
        <v>100</v>
      </c>
      <c r="C68" s="38">
        <v>3000</v>
      </c>
    </row>
    <row r="69" spans="2:28" x14ac:dyDescent="0.3">
      <c r="B69" s="6" t="s">
        <v>101</v>
      </c>
      <c r="C69" s="42">
        <v>48</v>
      </c>
    </row>
    <row r="71" spans="2:28" x14ac:dyDescent="0.3">
      <c r="B71" s="117" t="s">
        <v>102</v>
      </c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</row>
    <row r="73" spans="2:28" x14ac:dyDescent="0.3">
      <c r="B73" s="6" t="s">
        <v>103</v>
      </c>
      <c r="C73" s="42">
        <v>15</v>
      </c>
    </row>
    <row r="74" spans="2:28" x14ac:dyDescent="0.3">
      <c r="B74" s="6" t="s">
        <v>104</v>
      </c>
      <c r="C74" s="42">
        <v>45</v>
      </c>
    </row>
    <row r="75" spans="2:28" x14ac:dyDescent="0.3">
      <c r="B75" s="6" t="s">
        <v>105</v>
      </c>
      <c r="C75" s="42">
        <v>30</v>
      </c>
    </row>
    <row r="76" spans="2:28" x14ac:dyDescent="0.3">
      <c r="B76" s="6" t="s">
        <v>106</v>
      </c>
      <c r="C76" s="33">
        <v>0</v>
      </c>
    </row>
    <row r="78" spans="2:28" x14ac:dyDescent="0.3">
      <c r="B78" s="117" t="s">
        <v>107</v>
      </c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</row>
    <row r="80" spans="2:28" x14ac:dyDescent="0.3">
      <c r="B80" s="6" t="s">
        <v>108</v>
      </c>
      <c r="C80" s="45">
        <v>8</v>
      </c>
    </row>
    <row r="81" spans="2:8" x14ac:dyDescent="0.3">
      <c r="B81" s="6" t="s">
        <v>109</v>
      </c>
      <c r="C81" s="45">
        <v>6</v>
      </c>
    </row>
    <row r="82" spans="2:8" x14ac:dyDescent="0.3">
      <c r="B82" s="6" t="s">
        <v>110</v>
      </c>
      <c r="C82" s="45">
        <v>12</v>
      </c>
    </row>
    <row r="84" spans="2:8" x14ac:dyDescent="0.3">
      <c r="B84" s="118"/>
      <c r="C84" s="118"/>
      <c r="D84" s="118"/>
      <c r="E84" s="118"/>
      <c r="F84" s="118"/>
      <c r="G84" s="118"/>
      <c r="H84" s="118"/>
    </row>
    <row r="85" spans="2:8" x14ac:dyDescent="0.3">
      <c r="B85" s="118"/>
      <c r="C85" s="118"/>
      <c r="D85" s="118"/>
      <c r="E85" s="118"/>
      <c r="F85" s="118"/>
      <c r="G85" s="118"/>
      <c r="H85" s="118"/>
    </row>
    <row r="86" spans="2:8" x14ac:dyDescent="0.3">
      <c r="B86" s="118"/>
      <c r="C86" s="118"/>
      <c r="D86" s="118"/>
      <c r="E86" s="118"/>
      <c r="F86" s="118"/>
      <c r="G86" s="118"/>
      <c r="H86" s="118"/>
    </row>
  </sheetData>
  <mergeCells count="8">
    <mergeCell ref="B78:AB78"/>
    <mergeCell ref="B84:H86"/>
    <mergeCell ref="B20:AB20"/>
    <mergeCell ref="B28:AB28"/>
    <mergeCell ref="B36:AB36"/>
    <mergeCell ref="B44:AB44"/>
    <mergeCell ref="B56:AB56"/>
    <mergeCell ref="B71:AB71"/>
  </mergeCells>
  <dataValidations count="1">
    <dataValidation type="list" sqref="C6" xr:uid="{27EDE541-D298-43FA-AD58-0CE98F66D0B7}">
      <formula1>"Downside,Base,Upside"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6101-850A-4DCE-AD70-312AFBA6AB4B}">
  <dimension ref="A2:AC35"/>
  <sheetViews>
    <sheetView showGridLines="0" topLeftCell="A25" workbookViewId="0">
      <selection activeCell="AB35" sqref="AB35"/>
    </sheetView>
  </sheetViews>
  <sheetFormatPr defaultRowHeight="15.6" x14ac:dyDescent="0.3"/>
  <cols>
    <col min="1" max="1" width="2.8984375" customWidth="1"/>
    <col min="2" max="2" width="58.796875" bestFit="1" customWidth="1"/>
    <col min="4" max="4" width="10.296875" bestFit="1" customWidth="1"/>
    <col min="5" max="27" width="13.5" bestFit="1" customWidth="1"/>
    <col min="28" max="28" width="13.8984375" bestFit="1" customWidth="1"/>
  </cols>
  <sheetData>
    <row r="2" spans="1:29" ht="17.399999999999999" x14ac:dyDescent="0.3">
      <c r="B2" s="47" t="s">
        <v>112</v>
      </c>
    </row>
    <row r="4" spans="1:29" x14ac:dyDescent="0.3">
      <c r="D4" s="52">
        <v>2027</v>
      </c>
      <c r="P4" s="52">
        <v>2028</v>
      </c>
    </row>
    <row r="5" spans="1:29" x14ac:dyDescent="0.3">
      <c r="C5" s="58" t="s">
        <v>135</v>
      </c>
      <c r="D5" s="59">
        <v>1</v>
      </c>
      <c r="E5" s="60">
        <v>2</v>
      </c>
      <c r="F5" s="60">
        <v>3</v>
      </c>
      <c r="G5" s="60">
        <f>F5+1</f>
        <v>4</v>
      </c>
      <c r="H5" s="60">
        <f t="shared" ref="H5:AA5" si="0">G5+1</f>
        <v>5</v>
      </c>
      <c r="I5" s="60">
        <f t="shared" si="0"/>
        <v>6</v>
      </c>
      <c r="J5" s="60">
        <f t="shared" si="0"/>
        <v>7</v>
      </c>
      <c r="K5" s="60">
        <f t="shared" si="0"/>
        <v>8</v>
      </c>
      <c r="L5" s="60">
        <f t="shared" si="0"/>
        <v>9</v>
      </c>
      <c r="M5" s="60">
        <f t="shared" si="0"/>
        <v>10</v>
      </c>
      <c r="N5" s="60">
        <f t="shared" si="0"/>
        <v>11</v>
      </c>
      <c r="O5" s="60">
        <f t="shared" si="0"/>
        <v>12</v>
      </c>
      <c r="P5" s="60">
        <f t="shared" si="0"/>
        <v>13</v>
      </c>
      <c r="Q5" s="60">
        <f t="shared" si="0"/>
        <v>14</v>
      </c>
      <c r="R5" s="60">
        <f t="shared" si="0"/>
        <v>15</v>
      </c>
      <c r="S5" s="60">
        <f t="shared" si="0"/>
        <v>16</v>
      </c>
      <c r="T5" s="60">
        <f t="shared" si="0"/>
        <v>17</v>
      </c>
      <c r="U5" s="60">
        <f t="shared" si="0"/>
        <v>18</v>
      </c>
      <c r="V5" s="60">
        <f t="shared" si="0"/>
        <v>19</v>
      </c>
      <c r="W5" s="60">
        <f t="shared" si="0"/>
        <v>20</v>
      </c>
      <c r="X5" s="60">
        <f t="shared" si="0"/>
        <v>21</v>
      </c>
      <c r="Y5" s="60">
        <f t="shared" si="0"/>
        <v>22</v>
      </c>
      <c r="Z5" s="60">
        <f t="shared" si="0"/>
        <v>23</v>
      </c>
      <c r="AA5" s="60">
        <f t="shared" si="0"/>
        <v>24</v>
      </c>
      <c r="AB5" s="60" t="s">
        <v>134</v>
      </c>
      <c r="AC5" s="61"/>
    </row>
    <row r="8" spans="1:29" s="49" customFormat="1" x14ac:dyDescent="0.3">
      <c r="A8"/>
      <c r="B8" s="49" t="s">
        <v>113</v>
      </c>
    </row>
    <row r="9" spans="1:29" x14ac:dyDescent="0.3">
      <c r="B9" t="s">
        <v>114</v>
      </c>
      <c r="D9" s="64">
        <f>ASSUMPTIONS!C46</f>
        <v>3000</v>
      </c>
      <c r="E9" s="65">
        <f>D9*(1+ASSUMPTIONS!$C$22)</f>
        <v>3103.0982493957499</v>
      </c>
      <c r="F9" s="65">
        <f>E9*(1+ASSUMPTIONS!$C$22)</f>
        <v>3209.7395818009891</v>
      </c>
      <c r="G9" s="65">
        <f>F9*(1+ASSUMPTIONS!$C$22)</f>
        <v>3320.0457591009649</v>
      </c>
      <c r="H9" s="65">
        <f>G9*(1+ASSUMPTIONS!$C$22)</f>
        <v>3434.1427276599957</v>
      </c>
      <c r="I9" s="65">
        <f>H9*(1+ASSUMPTIONS!$C$22)</f>
        <v>3552.1607621256258</v>
      </c>
      <c r="J9" s="65">
        <f>I9*(1+ASSUMPTIONS!$C$22)</f>
        <v>3674.2346141747671</v>
      </c>
      <c r="K9" s="65">
        <f>J9*(1+ASSUMPTIONS!$C$22)</f>
        <v>3800.5036663716628</v>
      </c>
      <c r="L9" s="65">
        <f>K9*(1+ASSUMPTIONS!$C$22)</f>
        <v>3931.112091313345</v>
      </c>
      <c r="M9" s="65">
        <f>L9*(1+ASSUMPTIONS!$C$22)</f>
        <v>4066.2090162443019</v>
      </c>
      <c r="N9" s="65">
        <f>M9*(1+ASSUMPTIONS!$C$22)</f>
        <v>4205.9486933283024</v>
      </c>
      <c r="O9" s="65">
        <f>N9*(1+ASSUMPTIONS!$C$22)</f>
        <v>4350.490675771799</v>
      </c>
      <c r="P9" s="65">
        <f>O9*(1+ASSUMPTIONS!$C$22)</f>
        <v>4500.0000000000009</v>
      </c>
      <c r="Q9" s="65">
        <f>P9*(1+ASSUMPTIONS!$C$22)</f>
        <v>4654.6473740936253</v>
      </c>
      <c r="R9" s="65">
        <f>Q9*(1+ASSUMPTIONS!$C$22)</f>
        <v>4814.6093727014841</v>
      </c>
      <c r="S9" s="65">
        <f>R9*(1+ASSUMPTIONS!$C$22)</f>
        <v>4980.0686386514481</v>
      </c>
      <c r="T9" s="65">
        <f>S9*(1+ASSUMPTIONS!$C$22)</f>
        <v>5151.2140914899946</v>
      </c>
      <c r="U9" s="65">
        <f>T9*(1+ASSUMPTIONS!$C$22)</f>
        <v>5328.2411431884402</v>
      </c>
      <c r="V9" s="65">
        <f>U9*(1+ASSUMPTIONS!$C$22)</f>
        <v>5511.3519212621522</v>
      </c>
      <c r="W9" s="65">
        <f>V9*(1+ASSUMPTIONS!$C$22)</f>
        <v>5700.7554995574956</v>
      </c>
      <c r="X9" s="65">
        <f>W9*(1+ASSUMPTIONS!$C$22)</f>
        <v>5896.6681369700191</v>
      </c>
      <c r="Y9" s="65">
        <f>X9*(1+ASSUMPTIONS!$C$22)</f>
        <v>6099.3135243664547</v>
      </c>
      <c r="Z9" s="65">
        <f>Y9*(1+ASSUMPTIONS!$C$22)</f>
        <v>6308.9230399924554</v>
      </c>
      <c r="AA9" s="65">
        <f>Z9*(1+ASSUMPTIONS!$C$22)</f>
        <v>6525.7360136576999</v>
      </c>
    </row>
    <row r="10" spans="1:29" x14ac:dyDescent="0.3">
      <c r="B10" t="s">
        <v>115</v>
      </c>
      <c r="D10" s="53">
        <f>ASSUMPTIONS!C47</f>
        <v>2000</v>
      </c>
      <c r="E10" s="65">
        <f>D10*(1+ASSUMPTIONS!$C$22*ASSUMPTIONS!$C$23)</f>
        <v>2089.3518161429834</v>
      </c>
      <c r="F10" s="65">
        <f>E10*(1+ASSUMPTIONS!$C$22*ASSUMPTIONS!$C$23)</f>
        <v>2182.6955058099911</v>
      </c>
      <c r="G10" s="65">
        <f>F10*(1+ASSUMPTIONS!$C$22*ASSUMPTIONS!$C$23)</f>
        <v>2280.2094095756161</v>
      </c>
      <c r="H10" s="65">
        <f>G10*(1+ASSUMPTIONS!$C$22*ASSUMPTIONS!$C$23)</f>
        <v>2382.0798355415664</v>
      </c>
      <c r="I10" s="65">
        <f>H10*(1+ASSUMPTIONS!$C$22*ASSUMPTIONS!$C$23)</f>
        <v>2488.5014152931753</v>
      </c>
      <c r="J10" s="65">
        <f>I10*(1+ASSUMPTIONS!$C$22*ASSUMPTIONS!$C$23)</f>
        <v>2599.6774757585899</v>
      </c>
      <c r="K10" s="65">
        <f>J10*(1+ASSUMPTIONS!$C$22*ASSUMPTIONS!$C$23)</f>
        <v>2715.820427681108</v>
      </c>
      <c r="L10" s="65">
        <f>K10*(1+ASSUMPTIONS!$C$22*ASSUMPTIONS!$C$23)</f>
        <v>2837.1521714468681</v>
      </c>
      <c r="M10" s="65">
        <f>L10*(1+ASSUMPTIONS!$C$22*ASSUMPTIONS!$C$23)</f>
        <v>2963.904521043261</v>
      </c>
      <c r="N10" s="65">
        <f>M10*(1+ASSUMPTIONS!$C$22*ASSUMPTIONS!$C$23)</f>
        <v>3096.319646958068</v>
      </c>
      <c r="O10" s="65">
        <f>N10*(1+ASSUMPTIONS!$C$22*ASSUMPTIONS!$C$23)</f>
        <v>3234.65053886552</v>
      </c>
      <c r="P10" s="65">
        <f>O10*(1+ASSUMPTIONS!$C$22*ASSUMPTIONS!$C$23)</f>
        <v>3379.1614889832767</v>
      </c>
      <c r="Q10" s="65">
        <f>P10*(1+ASSUMPTIONS!$C$22*ASSUMPTIONS!$C$23)</f>
        <v>3530.1285970238182</v>
      </c>
      <c r="R10" s="65">
        <f>Q10*(1+ASSUMPTIONS!$C$22*ASSUMPTIONS!$C$23)</f>
        <v>3687.8402977049977</v>
      </c>
      <c r="S10" s="65">
        <f>R10*(1+ASSUMPTIONS!$C$22*ASSUMPTIONS!$C$23)</f>
        <v>3852.5979118276082</v>
      </c>
      <c r="T10" s="65">
        <f>S10*(1+ASSUMPTIONS!$C$22*ASSUMPTIONS!$C$23)</f>
        <v>4024.7162219728389</v>
      </c>
      <c r="U10" s="65">
        <f>T10*(1+ASSUMPTIONS!$C$22*ASSUMPTIONS!$C$23)</f>
        <v>4204.5240739195388</v>
      </c>
      <c r="V10" s="65">
        <f>U10*(1+ASSUMPTIONS!$C$22*ASSUMPTIONS!$C$23)</f>
        <v>4392.3650049303415</v>
      </c>
      <c r="W10" s="65">
        <f>V10*(1+ASSUMPTIONS!$C$22*ASSUMPTIONS!$C$23)</f>
        <v>4588.5979001070464</v>
      </c>
      <c r="X10" s="65">
        <f>W10*(1+ASSUMPTIONS!$C$22*ASSUMPTIONS!$C$23)</f>
        <v>4793.5976780692681</v>
      </c>
      <c r="Y10" s="65">
        <f>X10*(1+ASSUMPTIONS!$C$22*ASSUMPTIONS!$C$23)</f>
        <v>5007.7560072664064</v>
      </c>
      <c r="Z10" s="65">
        <f>Y10*(1+ASSUMPTIONS!$C$22*ASSUMPTIONS!$C$23)</f>
        <v>5231.4820542915004</v>
      </c>
      <c r="AA10" s="65">
        <f>Z10*(1+ASSUMPTIONS!$C$22*ASSUMPTIONS!$C$23)</f>
        <v>5465.2032656266856</v>
      </c>
    </row>
    <row r="11" spans="1:29" x14ac:dyDescent="0.3">
      <c r="B11" s="51" t="s">
        <v>116</v>
      </c>
      <c r="D11" s="51">
        <f>SUM(D9:D10)</f>
        <v>5000</v>
      </c>
      <c r="E11" s="66">
        <f t="shared" ref="E11:AA11" si="1">SUM(E9:E10)</f>
        <v>5192.4500655387328</v>
      </c>
      <c r="F11" s="66">
        <f t="shared" si="1"/>
        <v>5392.4350876109802</v>
      </c>
      <c r="G11" s="66">
        <f t="shared" si="1"/>
        <v>5600.255168676581</v>
      </c>
      <c r="H11" s="66">
        <f t="shared" si="1"/>
        <v>5816.2225632015616</v>
      </c>
      <c r="I11" s="66">
        <f t="shared" si="1"/>
        <v>6040.6621774188006</v>
      </c>
      <c r="J11" s="66">
        <f t="shared" si="1"/>
        <v>6273.9120899333575</v>
      </c>
      <c r="K11" s="66">
        <f t="shared" si="1"/>
        <v>6516.3240940527703</v>
      </c>
      <c r="L11" s="66">
        <f t="shared" si="1"/>
        <v>6768.2642627602127</v>
      </c>
      <c r="M11" s="66">
        <f t="shared" si="1"/>
        <v>7030.1135372875633</v>
      </c>
      <c r="N11" s="66">
        <f t="shared" si="1"/>
        <v>7302.2683402863704</v>
      </c>
      <c r="O11" s="66">
        <f t="shared" si="1"/>
        <v>7585.1412146373186</v>
      </c>
      <c r="P11" s="66">
        <f t="shared" si="1"/>
        <v>7879.1614889832781</v>
      </c>
      <c r="Q11" s="66">
        <f t="shared" si="1"/>
        <v>8184.775971117444</v>
      </c>
      <c r="R11" s="66">
        <f t="shared" si="1"/>
        <v>8502.4496704064823</v>
      </c>
      <c r="S11" s="66">
        <f t="shared" si="1"/>
        <v>8832.6665504790562</v>
      </c>
      <c r="T11" s="66">
        <f t="shared" si="1"/>
        <v>9175.9303134628335</v>
      </c>
      <c r="U11" s="66">
        <f t="shared" si="1"/>
        <v>9532.765217107979</v>
      </c>
      <c r="V11" s="66">
        <f t="shared" si="1"/>
        <v>9903.7169261924937</v>
      </c>
      <c r="W11" s="66">
        <f t="shared" si="1"/>
        <v>10289.353399664542</v>
      </c>
      <c r="X11" s="66">
        <f t="shared" si="1"/>
        <v>10690.265815039287</v>
      </c>
      <c r="Y11" s="66">
        <f t="shared" si="1"/>
        <v>11107.06953163286</v>
      </c>
      <c r="Z11" s="66">
        <f t="shared" si="1"/>
        <v>11540.405094283957</v>
      </c>
      <c r="AA11" s="66">
        <f t="shared" si="1"/>
        <v>11990.939279284386</v>
      </c>
    </row>
    <row r="13" spans="1:29" s="49" customFormat="1" x14ac:dyDescent="0.3">
      <c r="A13"/>
      <c r="B13" s="49" t="s">
        <v>117</v>
      </c>
    </row>
    <row r="14" spans="1:29" x14ac:dyDescent="0.3">
      <c r="B14" t="s">
        <v>118</v>
      </c>
      <c r="D14" s="55">
        <f>ASSUMPTIONS!C48</f>
        <v>1.2E-2</v>
      </c>
      <c r="E14" s="54">
        <f>D14+ASSUMPTIONS!$C$50</f>
        <v>1.2200000000000001E-2</v>
      </c>
      <c r="F14" s="54">
        <f>E14+ASSUMPTIONS!$C$50</f>
        <v>1.2400000000000001E-2</v>
      </c>
      <c r="G14" s="54">
        <f>F14+ASSUMPTIONS!$C$50</f>
        <v>1.2600000000000002E-2</v>
      </c>
      <c r="H14" s="54">
        <f>G14+ASSUMPTIONS!$C$50</f>
        <v>1.2800000000000002E-2</v>
      </c>
      <c r="I14" s="54">
        <f>H14+ASSUMPTIONS!$C$50</f>
        <v>1.3000000000000003E-2</v>
      </c>
      <c r="J14" s="54">
        <f>I14+ASSUMPTIONS!$C$50</f>
        <v>1.3200000000000003E-2</v>
      </c>
      <c r="K14" s="54">
        <f>J14+ASSUMPTIONS!$C$50</f>
        <v>1.3400000000000004E-2</v>
      </c>
      <c r="L14" s="54">
        <f>K14+ASSUMPTIONS!$C$50</f>
        <v>1.3600000000000004E-2</v>
      </c>
      <c r="M14" s="54">
        <f>L14+ASSUMPTIONS!$C$50</f>
        <v>1.3800000000000005E-2</v>
      </c>
      <c r="N14" s="54">
        <f>M14+ASSUMPTIONS!$C$50</f>
        <v>1.4000000000000005E-2</v>
      </c>
      <c r="O14" s="54">
        <f>N14+ASSUMPTIONS!$C$50</f>
        <v>1.4200000000000006E-2</v>
      </c>
      <c r="P14" s="54">
        <f>O14+ASSUMPTIONS!$C$50</f>
        <v>1.4400000000000007E-2</v>
      </c>
      <c r="Q14" s="54">
        <f>P14+ASSUMPTIONS!$C$50</f>
        <v>1.4600000000000007E-2</v>
      </c>
      <c r="R14" s="54">
        <f>Q14+ASSUMPTIONS!$C$50</f>
        <v>1.4800000000000008E-2</v>
      </c>
      <c r="S14" s="54">
        <f>R14+ASSUMPTIONS!$C$50</f>
        <v>1.5000000000000008E-2</v>
      </c>
      <c r="T14" s="54">
        <f>S14+ASSUMPTIONS!$C$50</f>
        <v>1.5200000000000009E-2</v>
      </c>
      <c r="U14" s="54">
        <f>T14+ASSUMPTIONS!$C$50</f>
        <v>1.5400000000000009E-2</v>
      </c>
      <c r="V14" s="54">
        <f>U14+ASSUMPTIONS!$C$50</f>
        <v>1.560000000000001E-2</v>
      </c>
      <c r="W14" s="54">
        <f>V14+ASSUMPTIONS!$C$50</f>
        <v>1.5800000000000008E-2</v>
      </c>
      <c r="X14" s="54">
        <f>W14+ASSUMPTIONS!$C$50</f>
        <v>1.6000000000000007E-2</v>
      </c>
      <c r="Y14" s="54">
        <f>X14+ASSUMPTIONS!$C$50</f>
        <v>1.6200000000000006E-2</v>
      </c>
      <c r="Z14" s="54">
        <f>Y14+ASSUMPTIONS!$C$50</f>
        <v>1.6400000000000005E-2</v>
      </c>
      <c r="AA14" s="54">
        <f>Z14+ASSUMPTIONS!$C$50</f>
        <v>1.6600000000000004E-2</v>
      </c>
    </row>
    <row r="15" spans="1:29" x14ac:dyDescent="0.3">
      <c r="B15" t="s">
        <v>119</v>
      </c>
      <c r="D15" s="55">
        <f>ASSUMPTIONS!C49</f>
        <v>2.8000000000000001E-2</v>
      </c>
      <c r="E15" s="54">
        <f>D15+ASSUMPTIONS!$C$51</f>
        <v>2.8300000000000002E-2</v>
      </c>
      <c r="F15" s="54">
        <f>E15+ASSUMPTIONS!$C$51</f>
        <v>2.8600000000000004E-2</v>
      </c>
      <c r="G15" s="54">
        <f>F15+ASSUMPTIONS!$C$51</f>
        <v>2.8900000000000006E-2</v>
      </c>
      <c r="H15" s="54">
        <f>G15+ASSUMPTIONS!$C$51</f>
        <v>2.9200000000000007E-2</v>
      </c>
      <c r="I15" s="54">
        <f>H15+ASSUMPTIONS!$C$51</f>
        <v>2.9500000000000009E-2</v>
      </c>
      <c r="J15" s="54">
        <f>I15+ASSUMPTIONS!$C$51</f>
        <v>2.9800000000000011E-2</v>
      </c>
      <c r="K15" s="54">
        <f>J15+ASSUMPTIONS!$C$51</f>
        <v>3.0100000000000012E-2</v>
      </c>
      <c r="L15" s="54">
        <f>K15+ASSUMPTIONS!$C$51</f>
        <v>3.0400000000000014E-2</v>
      </c>
      <c r="M15" s="54">
        <f>L15+ASSUMPTIONS!$C$51</f>
        <v>3.0700000000000015E-2</v>
      </c>
      <c r="N15" s="54">
        <f>M15+ASSUMPTIONS!$C$51</f>
        <v>3.1000000000000017E-2</v>
      </c>
      <c r="O15" s="54">
        <f>N15+ASSUMPTIONS!$C$51</f>
        <v>3.1300000000000015E-2</v>
      </c>
      <c r="P15" s="54">
        <f>O15+ASSUMPTIONS!$C$51</f>
        <v>3.1600000000000017E-2</v>
      </c>
      <c r="Q15" s="54">
        <f>P15+ASSUMPTIONS!$C$51</f>
        <v>3.1900000000000019E-2</v>
      </c>
      <c r="R15" s="54">
        <f>Q15+ASSUMPTIONS!$C$51</f>
        <v>3.220000000000002E-2</v>
      </c>
      <c r="S15" s="54">
        <f>R15+ASSUMPTIONS!$C$51</f>
        <v>3.2500000000000022E-2</v>
      </c>
      <c r="T15" s="54">
        <f>S15+ASSUMPTIONS!$C$51</f>
        <v>3.2800000000000024E-2</v>
      </c>
      <c r="U15" s="54">
        <f>T15+ASSUMPTIONS!$C$51</f>
        <v>3.3100000000000025E-2</v>
      </c>
      <c r="V15" s="54">
        <f>U15+ASSUMPTIONS!$C$51</f>
        <v>3.3400000000000027E-2</v>
      </c>
      <c r="W15" s="54">
        <f>V15+ASSUMPTIONS!$C$51</f>
        <v>3.3700000000000029E-2</v>
      </c>
      <c r="X15" s="54">
        <f>W15+ASSUMPTIONS!$C$51</f>
        <v>3.400000000000003E-2</v>
      </c>
      <c r="Y15" s="54">
        <f>X15+ASSUMPTIONS!$C$51</f>
        <v>3.4300000000000032E-2</v>
      </c>
      <c r="Z15" s="54">
        <f>Y15+ASSUMPTIONS!$C$51</f>
        <v>3.4600000000000034E-2</v>
      </c>
      <c r="AA15" s="54">
        <f>Z15+ASSUMPTIONS!$C$51</f>
        <v>3.4900000000000035E-2</v>
      </c>
    </row>
    <row r="16" spans="1:29" x14ac:dyDescent="0.3">
      <c r="B16" s="51" t="s">
        <v>120</v>
      </c>
      <c r="D16" s="74">
        <f>IFERROR((D9*D14+D10*D15)/D11,0)</f>
        <v>1.84E-2</v>
      </c>
      <c r="E16" s="74">
        <f>IFERROR((E9*E14+E10*E15)/E11,0)</f>
        <v>1.8678360661213585E-2</v>
      </c>
      <c r="F16" s="74">
        <f t="shared" ref="F16:AA16" si="2">IFERROR((F9*F14+F10*F15)/F11,0)</f>
        <v>1.8957272664321921E-2</v>
      </c>
      <c r="G16" s="74">
        <f t="shared" si="2"/>
        <v>1.9236735694467603E-2</v>
      </c>
      <c r="H16" s="74">
        <f t="shared" si="2"/>
        <v>1.9516749381299058E-2</v>
      </c>
      <c r="I16" s="74">
        <f t="shared" si="2"/>
        <v>1.9797313298834839E-2</v>
      </c>
      <c r="J16" s="74">
        <f t="shared" si="2"/>
        <v>2.0078426965343565E-2</v>
      </c>
      <c r="K16" s="74">
        <f t="shared" si="2"/>
        <v>2.036008984323966E-2</v>
      </c>
      <c r="L16" s="74">
        <f t="shared" si="2"/>
        <v>2.0642301338994883E-2</v>
      </c>
      <c r="M16" s="74">
        <f t="shared" si="2"/>
        <v>2.0925060803065984E-2</v>
      </c>
      <c r="N16" s="74">
        <f t="shared" si="2"/>
        <v>2.1208367529838405E-2</v>
      </c>
      <c r="O16" s="74">
        <f t="shared" si="2"/>
        <v>2.1492220757586153E-2</v>
      </c>
      <c r="P16" s="74">
        <f t="shared" si="2"/>
        <v>2.1776619668448044E-2</v>
      </c>
      <c r="Q16" s="74">
        <f t="shared" si="2"/>
        <v>2.2061563388420302E-2</v>
      </c>
      <c r="R16" s="74">
        <f t="shared" si="2"/>
        <v>2.234705098736554E-2</v>
      </c>
      <c r="S16" s="74">
        <f t="shared" si="2"/>
        <v>2.2633081479038353E-2</v>
      </c>
      <c r="T16" s="74">
        <f t="shared" si="2"/>
        <v>2.29196538211274E-2</v>
      </c>
      <c r="U16" s="74">
        <f t="shared" si="2"/>
        <v>2.3206766915314141E-2</v>
      </c>
      <c r="V16" s="74">
        <f t="shared" si="2"/>
        <v>2.3494419607348195E-2</v>
      </c>
      <c r="W16" s="74">
        <f t="shared" si="2"/>
        <v>2.37826106871394E-2</v>
      </c>
      <c r="X16" s="74">
        <f t="shared" si="2"/>
        <v>2.4071338888866527E-2</v>
      </c>
      <c r="Y16" s="74">
        <f t="shared" si="2"/>
        <v>2.4360602891102732E-2</v>
      </c>
      <c r="Z16" s="74">
        <f t="shared" si="2"/>
        <v>2.4650401316957681E-2</v>
      </c>
      <c r="AA16" s="74">
        <f t="shared" si="2"/>
        <v>2.4940732734236418E-2</v>
      </c>
    </row>
    <row r="18" spans="1:29" s="48" customFormat="1" x14ac:dyDescent="0.3">
      <c r="A18"/>
      <c r="B18" s="50" t="s">
        <v>121</v>
      </c>
    </row>
    <row r="19" spans="1:29" x14ac:dyDescent="0.3">
      <c r="B19" t="s">
        <v>122</v>
      </c>
      <c r="D19">
        <f>D9*D14</f>
        <v>36</v>
      </c>
      <c r="E19" s="63">
        <f>E9*E14</f>
        <v>37.857798642628154</v>
      </c>
      <c r="F19" s="63">
        <f t="shared" ref="F19:AA19" si="3">F9*F14</f>
        <v>39.800770814332267</v>
      </c>
      <c r="G19" s="63">
        <f t="shared" si="3"/>
        <v>41.832576564672166</v>
      </c>
      <c r="H19" s="63">
        <f t="shared" si="3"/>
        <v>43.957026914047951</v>
      </c>
      <c r="I19" s="63">
        <f t="shared" si="3"/>
        <v>46.178089907633144</v>
      </c>
      <c r="J19" s="63">
        <f t="shared" si="3"/>
        <v>48.499896907106937</v>
      </c>
      <c r="K19" s="63">
        <f t="shared" si="3"/>
        <v>50.926749129380298</v>
      </c>
      <c r="L19" s="63">
        <f t="shared" si="3"/>
        <v>53.46312444186151</v>
      </c>
      <c r="M19" s="63">
        <f t="shared" si="3"/>
        <v>56.113684424171389</v>
      </c>
      <c r="N19" s="63">
        <f t="shared" si="3"/>
        <v>58.883281706596257</v>
      </c>
      <c r="O19" s="63">
        <f t="shared" si="3"/>
        <v>61.776967595959576</v>
      </c>
      <c r="P19" s="63">
        <f t="shared" si="3"/>
        <v>64.80000000000004</v>
      </c>
      <c r="Q19" s="63">
        <f t="shared" si="3"/>
        <v>67.957851661766966</v>
      </c>
      <c r="R19" s="63">
        <f t="shared" si="3"/>
        <v>71.256218715982001</v>
      </c>
      <c r="S19" s="63">
        <f t="shared" si="3"/>
        <v>74.701029579771756</v>
      </c>
      <c r="T19" s="63">
        <f t="shared" si="3"/>
        <v>78.298454190647959</v>
      </c>
      <c r="U19" s="63">
        <f t="shared" si="3"/>
        <v>82.05491360510203</v>
      </c>
      <c r="V19" s="63">
        <f t="shared" si="3"/>
        <v>85.977089971689622</v>
      </c>
      <c r="W19" s="63">
        <f t="shared" si="3"/>
        <v>90.071936893008484</v>
      </c>
      <c r="X19" s="63">
        <f t="shared" si="3"/>
        <v>94.346690191520352</v>
      </c>
      <c r="Y19" s="63">
        <f t="shared" si="3"/>
        <v>98.808879094736596</v>
      </c>
      <c r="Z19" s="63">
        <f t="shared" si="3"/>
        <v>103.4663378558763</v>
      </c>
      <c r="AA19" s="63">
        <f t="shared" si="3"/>
        <v>108.32721782671784</v>
      </c>
    </row>
    <row r="20" spans="1:29" x14ac:dyDescent="0.3">
      <c r="B20" t="s">
        <v>123</v>
      </c>
      <c r="D20">
        <f>D10*D15</f>
        <v>56</v>
      </c>
      <c r="E20" s="63">
        <f>E10*E15</f>
        <v>59.128656396846431</v>
      </c>
      <c r="F20" s="63">
        <f t="shared" ref="F20:AA20" si="4">F10*F15</f>
        <v>62.425091466165753</v>
      </c>
      <c r="G20" s="63">
        <f t="shared" si="4"/>
        <v>65.898051936735314</v>
      </c>
      <c r="H20" s="63">
        <f t="shared" si="4"/>
        <v>69.556731197813761</v>
      </c>
      <c r="I20" s="63">
        <f t="shared" si="4"/>
        <v>73.410791751148693</v>
      </c>
      <c r="J20" s="63">
        <f t="shared" si="4"/>
        <v>77.470388777606004</v>
      </c>
      <c r="K20" s="63">
        <f t="shared" si="4"/>
        <v>81.746194873201389</v>
      </c>
      <c r="L20" s="63">
        <f t="shared" si="4"/>
        <v>86.249426011984824</v>
      </c>
      <c r="M20" s="63">
        <f t="shared" si="4"/>
        <v>90.991868796028157</v>
      </c>
      <c r="N20" s="63">
        <f t="shared" si="4"/>
        <v>95.985909055700162</v>
      </c>
      <c r="O20" s="63">
        <f t="shared" si="4"/>
        <v>101.24456186649083</v>
      </c>
      <c r="P20" s="63">
        <f t="shared" si="4"/>
        <v>106.7815030518716</v>
      </c>
      <c r="Q20" s="63">
        <f t="shared" si="4"/>
        <v>112.61110224505987</v>
      </c>
      <c r="R20" s="63">
        <f t="shared" si="4"/>
        <v>118.748457586101</v>
      </c>
      <c r="S20" s="63">
        <f t="shared" si="4"/>
        <v>125.20943213439735</v>
      </c>
      <c r="T20" s="63">
        <f t="shared" si="4"/>
        <v>132.01069208070922</v>
      </c>
      <c r="U20" s="63">
        <f t="shared" si="4"/>
        <v>139.16974684673684</v>
      </c>
      <c r="V20" s="63">
        <f t="shared" si="4"/>
        <v>146.70499116467352</v>
      </c>
      <c r="W20" s="63">
        <f t="shared" si="4"/>
        <v>154.63574923360758</v>
      </c>
      <c r="X20" s="63">
        <f t="shared" si="4"/>
        <v>162.98232105435525</v>
      </c>
      <c r="Y20" s="63">
        <f t="shared" si="4"/>
        <v>171.76603104923791</v>
      </c>
      <c r="Z20" s="63">
        <f t="shared" si="4"/>
        <v>181.00927907848609</v>
      </c>
      <c r="AA20" s="63">
        <f t="shared" si="4"/>
        <v>190.73559397037153</v>
      </c>
    </row>
    <row r="21" spans="1:29" x14ac:dyDescent="0.3">
      <c r="B21" s="51" t="s">
        <v>124</v>
      </c>
      <c r="D21" s="51">
        <f>SUM(D19:D20)</f>
        <v>92</v>
      </c>
      <c r="E21" s="71">
        <f>SUM(E19:E20)</f>
        <v>96.986455039474578</v>
      </c>
      <c r="F21" s="71">
        <f t="shared" ref="F21:AA21" si="5">SUM(F19:F20)</f>
        <v>102.22586228049802</v>
      </c>
      <c r="G21" s="71">
        <f t="shared" si="5"/>
        <v>107.73062850140748</v>
      </c>
      <c r="H21" s="71">
        <f t="shared" si="5"/>
        <v>113.5137581118617</v>
      </c>
      <c r="I21" s="71">
        <f t="shared" si="5"/>
        <v>119.58888165878184</v>
      </c>
      <c r="J21" s="71">
        <f t="shared" si="5"/>
        <v>125.97028568471293</v>
      </c>
      <c r="K21" s="71">
        <f t="shared" si="5"/>
        <v>132.67294400258169</v>
      </c>
      <c r="L21" s="71">
        <f t="shared" si="5"/>
        <v>139.71255045384635</v>
      </c>
      <c r="M21" s="71">
        <f t="shared" si="5"/>
        <v>147.10555322019954</v>
      </c>
      <c r="N21" s="71">
        <f t="shared" si="5"/>
        <v>154.86919076229643</v>
      </c>
      <c r="O21" s="71">
        <f t="shared" si="5"/>
        <v>163.02152946245042</v>
      </c>
      <c r="P21" s="71">
        <f t="shared" si="5"/>
        <v>171.58150305187164</v>
      </c>
      <c r="Q21" s="71">
        <f t="shared" si="5"/>
        <v>180.56895390682683</v>
      </c>
      <c r="R21" s="71">
        <f t="shared" si="5"/>
        <v>190.004676302083</v>
      </c>
      <c r="S21" s="71">
        <f t="shared" si="5"/>
        <v>199.91046171416912</v>
      </c>
      <c r="T21" s="71">
        <f t="shared" si="5"/>
        <v>210.30914627135718</v>
      </c>
      <c r="U21" s="71">
        <f t="shared" si="5"/>
        <v>221.22466045183887</v>
      </c>
      <c r="V21" s="71">
        <f t="shared" si="5"/>
        <v>232.68208113636314</v>
      </c>
      <c r="W21" s="71">
        <f t="shared" si="5"/>
        <v>244.70768612661607</v>
      </c>
      <c r="X21" s="71">
        <f t="shared" si="5"/>
        <v>257.32901124587562</v>
      </c>
      <c r="Y21" s="71">
        <f t="shared" si="5"/>
        <v>270.57491014397453</v>
      </c>
      <c r="Z21" s="71">
        <f t="shared" si="5"/>
        <v>284.47561693436239</v>
      </c>
      <c r="AA21" s="71">
        <f t="shared" si="5"/>
        <v>299.06281179708935</v>
      </c>
    </row>
    <row r="23" spans="1:29" s="48" customFormat="1" x14ac:dyDescent="0.3">
      <c r="A23"/>
      <c r="B23" s="49" t="s">
        <v>125</v>
      </c>
    </row>
    <row r="24" spans="1:29" x14ac:dyDescent="0.3">
      <c r="B24" t="s">
        <v>126</v>
      </c>
      <c r="D24" s="56">
        <f>ASSUMPTIONS!C38</f>
        <v>1100</v>
      </c>
      <c r="E24" s="57">
        <f>D24*(1+ASSUMPTIONS!$C$24)</f>
        <v>1102.7128967495341</v>
      </c>
      <c r="F24" s="57">
        <f>E24*(1+ASSUMPTIONS!$C$24)</f>
        <v>1105.4324842343169</v>
      </c>
      <c r="G24" s="57">
        <f>F24*(1+ASSUMPTIONS!$C$24)</f>
        <v>1108.1587789555065</v>
      </c>
      <c r="H24" s="57">
        <f>G24*(1+ASSUMPTIONS!$C$24)</f>
        <v>1110.8917974549574</v>
      </c>
      <c r="I24" s="57">
        <f>H24*(1+ASSUMPTIONS!$C$24)</f>
        <v>1113.6315563153207</v>
      </c>
      <c r="J24" s="57">
        <f>I24*(1+ASSUMPTIONS!$C$24)</f>
        <v>1116.3780721601447</v>
      </c>
      <c r="K24" s="57">
        <f>J24*(1+ASSUMPTIONS!$C$24)</f>
        <v>1119.131361653976</v>
      </c>
      <c r="L24" s="57">
        <f>K24*(1+ASSUMPTIONS!$C$24)</f>
        <v>1121.8914415024603</v>
      </c>
      <c r="M24" s="57">
        <f>L24*(1+ASSUMPTIONS!$C$24)</f>
        <v>1124.658328452444</v>
      </c>
      <c r="N24" s="57">
        <f>M24*(1+ASSUMPTIONS!$C$24)</f>
        <v>1127.4320392920758</v>
      </c>
      <c r="O24" s="57">
        <f>N24*(1+ASSUMPTIONS!$C$24)</f>
        <v>1130.2125908509086</v>
      </c>
      <c r="P24" s="57">
        <f>O24*(1+ASSUMPTIONS!$C$24)</f>
        <v>1133.0000000000011</v>
      </c>
      <c r="Q24" s="57">
        <f>P24*(1+ASSUMPTIONS!$C$24)</f>
        <v>1135.7942836520212</v>
      </c>
      <c r="R24" s="57">
        <f>Q24*(1+ASSUMPTIONS!$C$24)</f>
        <v>1138.5954587613476</v>
      </c>
      <c r="S24" s="57">
        <f>R24*(1+ASSUMPTIONS!$C$24)</f>
        <v>1141.403542324173</v>
      </c>
      <c r="T24" s="57">
        <f>S24*(1+ASSUMPTIONS!$C$24)</f>
        <v>1144.2185513786076</v>
      </c>
      <c r="U24" s="57">
        <f>T24*(1+ASSUMPTIONS!$C$24)</f>
        <v>1147.0405030047818</v>
      </c>
      <c r="V24" s="57">
        <f>U24*(1+ASSUMPTIONS!$C$24)</f>
        <v>1149.8694143249506</v>
      </c>
      <c r="W24" s="57">
        <f>V24*(1+ASSUMPTIONS!$C$24)</f>
        <v>1152.7053025035968</v>
      </c>
      <c r="X24" s="57">
        <f>W24*(1+ASSUMPTIONS!$C$24)</f>
        <v>1155.5481847475357</v>
      </c>
      <c r="Y24" s="57">
        <f>X24*(1+ASSUMPTIONS!$C$24)</f>
        <v>1158.398078306019</v>
      </c>
      <c r="Z24" s="57">
        <f>Y24*(1+ASSUMPTIONS!$C$24)</f>
        <v>1161.2550004708398</v>
      </c>
      <c r="AA24" s="57">
        <f>Z24*(1+ASSUMPTIONS!$C$24)</f>
        <v>1164.1189685764375</v>
      </c>
    </row>
    <row r="25" spans="1:29" x14ac:dyDescent="0.3">
      <c r="B25" s="51" t="s">
        <v>127</v>
      </c>
      <c r="D25" s="70">
        <f>D21*D24</f>
        <v>101200</v>
      </c>
      <c r="E25" s="70">
        <f>E21*E24</f>
        <v>106948.21478204746</v>
      </c>
      <c r="F25" s="70">
        <f t="shared" ref="F25:AA25" si="6">F21*F24</f>
        <v>113003.78889372609</v>
      </c>
      <c r="G25" s="70">
        <f t="shared" si="6"/>
        <v>119382.64173622899</v>
      </c>
      <c r="H25" s="70">
        <f t="shared" si="6"/>
        <v>126101.50278475331</v>
      </c>
      <c r="I25" s="70">
        <f t="shared" si="6"/>
        <v>133177.95239967795</v>
      </c>
      <c r="J25" s="70">
        <f t="shared" si="6"/>
        <v>140630.46468216251</v>
      </c>
      <c r="K25" s="70">
        <f t="shared" si="6"/>
        <v>148478.45247625094</v>
      </c>
      <c r="L25" s="70">
        <f t="shared" si="6"/>
        <v>156742.3146246509</v>
      </c>
      <c r="M25" s="70">
        <f t="shared" si="6"/>
        <v>165443.48559070166</v>
      </c>
      <c r="N25" s="70">
        <f t="shared" si="6"/>
        <v>174604.48756464937</v>
      </c>
      <c r="O25" s="70">
        <f t="shared" si="6"/>
        <v>184248.98517823379</v>
      </c>
      <c r="P25" s="70">
        <f t="shared" si="6"/>
        <v>194401.84295777077</v>
      </c>
      <c r="Q25" s="70">
        <f t="shared" si="6"/>
        <v>205089.18565239923</v>
      </c>
      <c r="R25" s="70">
        <f t="shared" si="6"/>
        <v>216338.46158097155</v>
      </c>
      <c r="S25" s="70">
        <f t="shared" si="6"/>
        <v>228178.5091482136</v>
      </c>
      <c r="T25" s="70">
        <f t="shared" si="6"/>
        <v>240639.62668828398</v>
      </c>
      <c r="U25" s="70">
        <f t="shared" si="6"/>
        <v>253753.64580173933</v>
      </c>
      <c r="V25" s="70">
        <f t="shared" si="6"/>
        <v>267554.00836018054</v>
      </c>
      <c r="W25" s="70">
        <f t="shared" si="6"/>
        <v>282075.84736153623</v>
      </c>
      <c r="X25" s="70">
        <f t="shared" si="6"/>
        <v>297356.07182804978</v>
      </c>
      <c r="Y25" s="70">
        <f t="shared" si="6"/>
        <v>313433.45594860386</v>
      </c>
      <c r="Z25" s="70">
        <f t="shared" si="6"/>
        <v>330348.73267705546</v>
      </c>
      <c r="AA25" s="70">
        <f t="shared" si="6"/>
        <v>348144.6920087969</v>
      </c>
      <c r="AB25" s="73">
        <f>IFERROR(AA25*(1+((AA25/O25)^(1/12)-1))*(((1+((AA25/O25)^(1/12)-1))^12-1)/((AA25/O25)^(1/12)-1)),AA25*12)</f>
        <v>5996321.2354709525</v>
      </c>
      <c r="AC25" s="51"/>
    </row>
    <row r="27" spans="1:29" s="48" customFormat="1" x14ac:dyDescent="0.3">
      <c r="A27"/>
      <c r="B27" s="50" t="s">
        <v>128</v>
      </c>
    </row>
    <row r="28" spans="1:29" x14ac:dyDescent="0.3">
      <c r="B28" t="s">
        <v>129</v>
      </c>
      <c r="D28" s="53">
        <f>ASSUMPTIONS!C54</f>
        <v>3</v>
      </c>
      <c r="E28" s="62">
        <f>D28*(1+ASSUMPTIONS!$C$22)</f>
        <v>3.1030982493957495</v>
      </c>
      <c r="F28" s="62">
        <f>E28*(1+ASSUMPTIONS!$C$22)</f>
        <v>3.2097395818009886</v>
      </c>
      <c r="G28" s="62">
        <f>F28*(1+ASSUMPTIONS!$C$22)</f>
        <v>3.3200457591009647</v>
      </c>
      <c r="H28" s="62">
        <f>G28*(1+ASSUMPTIONS!$C$22)</f>
        <v>3.4341427276599954</v>
      </c>
      <c r="I28" s="62">
        <f>H28*(1+ASSUMPTIONS!$C$22)</f>
        <v>3.5521607621256255</v>
      </c>
      <c r="J28" s="62">
        <f>I28*(1+ASSUMPTIONS!$C$22)</f>
        <v>3.6742346141747668</v>
      </c>
      <c r="K28" s="62">
        <f>J28*(1+ASSUMPTIONS!$C$22)</f>
        <v>3.8005036663716623</v>
      </c>
      <c r="L28" s="62">
        <f>K28*(1+ASSUMPTIONS!$C$22)</f>
        <v>3.9311120913133446</v>
      </c>
      <c r="M28" s="62">
        <f>L28*(1+ASSUMPTIONS!$C$22)</f>
        <v>4.0662090162443016</v>
      </c>
      <c r="N28" s="62">
        <f>M28*(1+ASSUMPTIONS!$C$22)</f>
        <v>4.2059486933283017</v>
      </c>
      <c r="O28" s="62">
        <f>N28*(1+ASSUMPTIONS!$C$22)</f>
        <v>4.3504906757717983</v>
      </c>
      <c r="P28" s="62">
        <f>O28*(1+ASSUMPTIONS!$C$22)</f>
        <v>4.5</v>
      </c>
      <c r="Q28" s="62">
        <f>P28*(1+ASSUMPTIONS!$C$22)</f>
        <v>4.6546473740936243</v>
      </c>
      <c r="R28" s="62">
        <f>Q28*(1+ASSUMPTIONS!$C$22)</f>
        <v>4.8146093727014829</v>
      </c>
      <c r="S28" s="62">
        <f>R28*(1+ASSUMPTIONS!$C$22)</f>
        <v>4.9800686386514466</v>
      </c>
      <c r="T28" s="62">
        <f>S28*(1+ASSUMPTIONS!$C$22)</f>
        <v>5.1512140914899929</v>
      </c>
      <c r="U28" s="62">
        <f>T28*(1+ASSUMPTIONS!$C$22)</f>
        <v>5.3282411431884382</v>
      </c>
      <c r="V28" s="62">
        <f>U28*(1+ASSUMPTIONS!$C$22)</f>
        <v>5.5113519212621505</v>
      </c>
      <c r="W28" s="62">
        <f>V28*(1+ASSUMPTIONS!$C$22)</f>
        <v>5.7007554995574941</v>
      </c>
      <c r="X28" s="62">
        <f>W28*(1+ASSUMPTIONS!$C$22)</f>
        <v>5.8966681369700176</v>
      </c>
      <c r="Y28" s="62">
        <f>X28*(1+ASSUMPTIONS!$C$22)</f>
        <v>6.0993135243664529</v>
      </c>
      <c r="Z28" s="62">
        <f>Y28*(1+ASSUMPTIONS!$C$22)</f>
        <v>6.3089230399924539</v>
      </c>
      <c r="AA28" s="62">
        <f>Z28*(1+ASSUMPTIONS!$C$22)</f>
        <v>6.5257360136576983</v>
      </c>
    </row>
    <row r="29" spans="1:29" x14ac:dyDescent="0.3">
      <c r="B29" t="s">
        <v>75</v>
      </c>
      <c r="D29" s="56">
        <f>ASSUMPTIONS!C39</f>
        <v>3000</v>
      </c>
      <c r="E29" s="57">
        <f>D29*(1+ASSUMPTIONS!$C$24)</f>
        <v>3007.398809316911</v>
      </c>
      <c r="F29" s="57">
        <f>E29*(1+ASSUMPTIONS!$C$24)</f>
        <v>3014.8158660935915</v>
      </c>
      <c r="G29" s="57">
        <f>F29*(1+ASSUMPTIONS!$C$24)</f>
        <v>3022.2512153331995</v>
      </c>
      <c r="H29" s="57">
        <f>G29*(1+ASSUMPTIONS!$C$24)</f>
        <v>3029.7049021498838</v>
      </c>
      <c r="I29" s="57">
        <f>H29*(1+ASSUMPTIONS!$C$24)</f>
        <v>3037.1769717690563</v>
      </c>
      <c r="J29" s="57">
        <f>I29*(1+ASSUMPTIONS!$C$24)</f>
        <v>3044.667469527667</v>
      </c>
      <c r="K29" s="57">
        <f>J29*(1+ASSUMPTIONS!$C$24)</f>
        <v>3052.1764408744793</v>
      </c>
      <c r="L29" s="57">
        <f>K29*(1+ASSUMPTIONS!$C$24)</f>
        <v>3059.7039313703453</v>
      </c>
      <c r="M29" s="57">
        <f>L29*(1+ASSUMPTIONS!$C$24)</f>
        <v>3067.2499866884827</v>
      </c>
      <c r="N29" s="57">
        <f>M29*(1+ASSUMPTIONS!$C$24)</f>
        <v>3074.8146526147516</v>
      </c>
      <c r="O29" s="57">
        <f>N29*(1+ASSUMPTIONS!$C$24)</f>
        <v>3082.3979750479316</v>
      </c>
      <c r="P29" s="57">
        <f>O29*(1+ASSUMPTIONS!$C$24)</f>
        <v>3090.0000000000023</v>
      </c>
      <c r="Q29" s="57">
        <f>P29*(1+ASSUMPTIONS!$C$24)</f>
        <v>3097.6207735964208</v>
      </c>
      <c r="R29" s="57">
        <f>Q29*(1+ASSUMPTIONS!$C$24)</f>
        <v>3105.2603420764017</v>
      </c>
      <c r="S29" s="57">
        <f>R29*(1+ASSUMPTIONS!$C$24)</f>
        <v>3112.9187517931982</v>
      </c>
      <c r="T29" s="57">
        <f>S29*(1+ASSUMPTIONS!$C$24)</f>
        <v>3120.5960492143831</v>
      </c>
      <c r="U29" s="57">
        <f>T29*(1+ASSUMPTIONS!$C$24)</f>
        <v>3128.2922809221309</v>
      </c>
      <c r="V29" s="57">
        <f>U29*(1+ASSUMPTIONS!$C$24)</f>
        <v>3136.0074936135002</v>
      </c>
      <c r="W29" s="57">
        <f>V29*(1+ASSUMPTIONS!$C$24)</f>
        <v>3143.7417341007172</v>
      </c>
      <c r="X29" s="57">
        <f>W29*(1+ASSUMPTIONS!$C$24)</f>
        <v>3151.4950493114593</v>
      </c>
      <c r="Y29" s="57">
        <f>X29*(1+ASSUMPTIONS!$C$24)</f>
        <v>3159.2674862891408</v>
      </c>
      <c r="Z29" s="57">
        <f>Y29*(1+ASSUMPTIONS!$C$24)</f>
        <v>3167.0590921931976</v>
      </c>
      <c r="AA29" s="57">
        <f>Z29*(1+ASSUMPTIONS!$C$24)</f>
        <v>3174.8699142993732</v>
      </c>
    </row>
    <row r="30" spans="1:29" x14ac:dyDescent="0.3">
      <c r="B30" s="51" t="s">
        <v>130</v>
      </c>
      <c r="D30" s="51">
        <f>D28*D29</f>
        <v>9000</v>
      </c>
      <c r="E30" s="70">
        <f>E28*E29</f>
        <v>9332.2539804261687</v>
      </c>
      <c r="F30" s="70">
        <f t="shared" ref="F30:AA30" si="7">F28*F29</f>
        <v>9676.7738172422287</v>
      </c>
      <c r="G30" s="70">
        <f t="shared" si="7"/>
        <v>10034.012330404725</v>
      </c>
      <c r="H30" s="70">
        <f t="shared" si="7"/>
        <v>10404.439056673862</v>
      </c>
      <c r="I30" s="70">
        <f t="shared" si="7"/>
        <v>10788.54086674957</v>
      </c>
      <c r="J30" s="70">
        <f t="shared" si="7"/>
        <v>11186.822605190451</v>
      </c>
      <c r="K30" s="70">
        <f t="shared" si="7"/>
        <v>11599.807753956669</v>
      </c>
      <c r="L30" s="70">
        <f t="shared" si="7"/>
        <v>12028.039120448941</v>
      </c>
      <c r="M30" s="70">
        <f t="shared" si="7"/>
        <v>12472.079550947923</v>
      </c>
      <c r="N30" s="70">
        <f t="shared" si="7"/>
        <v>12932.51267039173</v>
      </c>
      <c r="O30" s="70">
        <f t="shared" si="7"/>
        <v>13409.943649463898</v>
      </c>
      <c r="P30" s="70">
        <f t="shared" si="7"/>
        <v>13905.000000000011</v>
      </c>
      <c r="Q30" s="70">
        <f t="shared" si="7"/>
        <v>14418.332399758441</v>
      </c>
      <c r="R30" s="70">
        <f t="shared" si="7"/>
        <v>14950.615547639256</v>
      </c>
      <c r="S30" s="70">
        <f t="shared" si="7"/>
        <v>15502.549050475312</v>
      </c>
      <c r="T30" s="70">
        <f t="shared" si="7"/>
        <v>16074.85834256113</v>
      </c>
      <c r="U30" s="70">
        <f t="shared" si="7"/>
        <v>16668.2956391281</v>
      </c>
      <c r="V30" s="70">
        <f t="shared" si="7"/>
        <v>17283.640925019266</v>
      </c>
      <c r="W30" s="70">
        <f t="shared" si="7"/>
        <v>17921.702979863076</v>
      </c>
      <c r="X30" s="70">
        <f t="shared" si="7"/>
        <v>18583.320441093638</v>
      </c>
      <c r="Y30" s="70">
        <f t="shared" si="7"/>
        <v>19269.362906214563</v>
      </c>
      <c r="Z30" s="70">
        <f t="shared" si="7"/>
        <v>19980.732075755248</v>
      </c>
      <c r="AA30" s="70">
        <f t="shared" si="7"/>
        <v>20718.362938421749</v>
      </c>
      <c r="AB30" s="73">
        <f>IFERROR(AA30*(1+((AA30/O30)^(1/12)-1))*(((1+((AA30/O30)^(1/12)-1))^12-1)/((AA30/O30)^(1/12)-1)),AA30*12)</f>
        <v>317152.61466496228</v>
      </c>
    </row>
    <row r="32" spans="1:29" s="48" customFormat="1" x14ac:dyDescent="0.3">
      <c r="A32"/>
      <c r="B32" s="50" t="s">
        <v>131</v>
      </c>
    </row>
    <row r="33" spans="2:28" x14ac:dyDescent="0.3">
      <c r="B33" s="51" t="s">
        <v>132</v>
      </c>
      <c r="D33" s="51">
        <f>D21+D28</f>
        <v>95</v>
      </c>
      <c r="E33" s="71">
        <f t="shared" ref="E33:Z33" si="8">E21+E28</f>
        <v>100.08955328887032</v>
      </c>
      <c r="F33" s="71">
        <f t="shared" si="8"/>
        <v>105.43560186229901</v>
      </c>
      <c r="G33" s="71">
        <f t="shared" si="8"/>
        <v>111.05067426050844</v>
      </c>
      <c r="H33" s="71">
        <f t="shared" si="8"/>
        <v>116.94790083952169</v>
      </c>
      <c r="I33" s="71">
        <f t="shared" si="8"/>
        <v>123.14104242090747</v>
      </c>
      <c r="J33" s="71">
        <f t="shared" si="8"/>
        <v>129.6445202988877</v>
      </c>
      <c r="K33" s="71">
        <f t="shared" si="8"/>
        <v>136.47344766895336</v>
      </c>
      <c r="L33" s="71">
        <f t="shared" si="8"/>
        <v>143.64366254515969</v>
      </c>
      <c r="M33" s="71">
        <f t="shared" si="8"/>
        <v>151.17176223644384</v>
      </c>
      <c r="N33" s="71">
        <f t="shared" si="8"/>
        <v>159.07513945562474</v>
      </c>
      <c r="O33" s="71">
        <f t="shared" si="8"/>
        <v>167.37202013822221</v>
      </c>
      <c r="P33" s="71">
        <f t="shared" si="8"/>
        <v>176.08150305187164</v>
      </c>
      <c r="Q33" s="71">
        <f t="shared" si="8"/>
        <v>185.22360128092046</v>
      </c>
      <c r="R33" s="71">
        <f t="shared" si="8"/>
        <v>194.81928567478448</v>
      </c>
      <c r="S33" s="71">
        <f t="shared" si="8"/>
        <v>204.89053035282058</v>
      </c>
      <c r="T33" s="71">
        <f t="shared" si="8"/>
        <v>215.46036036284718</v>
      </c>
      <c r="U33" s="71">
        <f t="shared" si="8"/>
        <v>226.55290159502732</v>
      </c>
      <c r="V33" s="71">
        <f t="shared" si="8"/>
        <v>238.1934330576253</v>
      </c>
      <c r="W33" s="71">
        <f t="shared" si="8"/>
        <v>250.40844162617356</v>
      </c>
      <c r="X33" s="71">
        <f t="shared" si="8"/>
        <v>263.22567938284561</v>
      </c>
      <c r="Y33" s="71">
        <f t="shared" si="8"/>
        <v>276.67422366834097</v>
      </c>
      <c r="Z33" s="71">
        <f t="shared" si="8"/>
        <v>290.78453997435486</v>
      </c>
      <c r="AA33" s="71">
        <f>AA21+AA28</f>
        <v>305.58854781074706</v>
      </c>
      <c r="AB33" s="72">
        <f>IFERROR(AA33*(1+((AA33/O33)^(1/12)-1))*(((1+((AA33/O33)^(1/12)-1))^12-1)/((AA33/O33)^(1/12)-1)),AA33*12)</f>
        <v>5157.4198125099565</v>
      </c>
    </row>
    <row r="34" spans="2:28" x14ac:dyDescent="0.3">
      <c r="B34" s="51" t="s">
        <v>133</v>
      </c>
      <c r="D34" s="70">
        <f>D25+D30</f>
        <v>110200</v>
      </c>
      <c r="E34" s="69">
        <f t="shared" ref="E34:AA34" si="9">E25+E30</f>
        <v>116280.46876247364</v>
      </c>
      <c r="F34" s="69">
        <f t="shared" si="9"/>
        <v>122680.56271096831</v>
      </c>
      <c r="G34" s="69">
        <f t="shared" si="9"/>
        <v>129416.65406663372</v>
      </c>
      <c r="H34" s="69">
        <f t="shared" si="9"/>
        <v>136505.94184142718</v>
      </c>
      <c r="I34" s="69">
        <f t="shared" si="9"/>
        <v>143966.49326642751</v>
      </c>
      <c r="J34" s="69">
        <f t="shared" si="9"/>
        <v>151817.28728735296</v>
      </c>
      <c r="K34" s="69">
        <f t="shared" si="9"/>
        <v>160078.26023020761</v>
      </c>
      <c r="L34" s="69">
        <f t="shared" si="9"/>
        <v>168770.35374509983</v>
      </c>
      <c r="M34" s="69">
        <f t="shared" si="9"/>
        <v>177915.5651416496</v>
      </c>
      <c r="N34" s="69">
        <f t="shared" si="9"/>
        <v>187537.00023504111</v>
      </c>
      <c r="O34" s="69">
        <f t="shared" si="9"/>
        <v>197658.9288276977</v>
      </c>
      <c r="P34" s="69">
        <f t="shared" si="9"/>
        <v>208306.84295777077</v>
      </c>
      <c r="Q34" s="69">
        <f t="shared" si="9"/>
        <v>219507.51805215768</v>
      </c>
      <c r="R34" s="69">
        <f t="shared" si="9"/>
        <v>231289.07712861081</v>
      </c>
      <c r="S34" s="69">
        <f t="shared" si="9"/>
        <v>243681.05819868893</v>
      </c>
      <c r="T34" s="69">
        <f t="shared" si="9"/>
        <v>256714.48503084513</v>
      </c>
      <c r="U34" s="69">
        <f t="shared" si="9"/>
        <v>270421.94144086743</v>
      </c>
      <c r="V34" s="69">
        <f t="shared" si="9"/>
        <v>284837.64928519982</v>
      </c>
      <c r="W34" s="69">
        <f t="shared" si="9"/>
        <v>299997.55034139933</v>
      </c>
      <c r="X34" s="69">
        <f t="shared" si="9"/>
        <v>315939.39226914343</v>
      </c>
      <c r="Y34" s="69">
        <f t="shared" si="9"/>
        <v>332702.81885481841</v>
      </c>
      <c r="Z34" s="69">
        <f t="shared" si="9"/>
        <v>350329.46475281072</v>
      </c>
      <c r="AA34" s="69">
        <f t="shared" si="9"/>
        <v>368863.05494721862</v>
      </c>
      <c r="AB34" s="73">
        <f>IFERROR(AA34*(1+((AA34/O34)^(1/12)-1))*(((1+((AA34/O34)^(1/12)-1))^12-1)/((AA34/O34)^(1/12)-1)),AA34*12)</f>
        <v>6306407.3418555027</v>
      </c>
    </row>
    <row r="35" spans="2:28" x14ac:dyDescent="0.3"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83F7-611C-493A-8DCB-A42105E4A02D}">
  <dimension ref="A2:AC29"/>
  <sheetViews>
    <sheetView showGridLines="0" topLeftCell="AC1" workbookViewId="0">
      <selection activeCell="AB28" sqref="AB28"/>
    </sheetView>
  </sheetViews>
  <sheetFormatPr defaultRowHeight="15.6" x14ac:dyDescent="0.3"/>
  <cols>
    <col min="1" max="1" width="2" customWidth="1"/>
    <col min="2" max="2" width="41.69921875" customWidth="1"/>
    <col min="4" max="5" width="11.296875" bestFit="1" customWidth="1"/>
    <col min="6" max="27" width="9.796875" bestFit="1" customWidth="1"/>
    <col min="28" max="28" width="13.8984375" bestFit="1" customWidth="1"/>
  </cols>
  <sheetData>
    <row r="2" spans="1:29" ht="17.399999999999999" x14ac:dyDescent="0.3">
      <c r="A2" s="47" t="s">
        <v>136</v>
      </c>
    </row>
    <row r="4" spans="1:29" x14ac:dyDescent="0.3">
      <c r="D4" s="52">
        <v>2027</v>
      </c>
      <c r="P4" s="52">
        <v>2028</v>
      </c>
    </row>
    <row r="5" spans="1:29" x14ac:dyDescent="0.3">
      <c r="C5" s="58" t="s">
        <v>135</v>
      </c>
      <c r="D5" s="59">
        <v>1</v>
      </c>
      <c r="E5" s="60">
        <v>2</v>
      </c>
      <c r="F5" s="60">
        <v>3</v>
      </c>
      <c r="G5" s="60">
        <f>F5+1</f>
        <v>4</v>
      </c>
      <c r="H5" s="60">
        <f t="shared" ref="H5:AA5" si="0">G5+1</f>
        <v>5</v>
      </c>
      <c r="I5" s="60">
        <f t="shared" si="0"/>
        <v>6</v>
      </c>
      <c r="J5" s="60">
        <f t="shared" si="0"/>
        <v>7</v>
      </c>
      <c r="K5" s="60">
        <f t="shared" si="0"/>
        <v>8</v>
      </c>
      <c r="L5" s="60">
        <f t="shared" si="0"/>
        <v>9</v>
      </c>
      <c r="M5" s="60">
        <f t="shared" si="0"/>
        <v>10</v>
      </c>
      <c r="N5" s="60">
        <f t="shared" si="0"/>
        <v>11</v>
      </c>
      <c r="O5" s="60">
        <f t="shared" si="0"/>
        <v>12</v>
      </c>
      <c r="P5" s="60">
        <f t="shared" si="0"/>
        <v>13</v>
      </c>
      <c r="Q5" s="60">
        <f t="shared" si="0"/>
        <v>14</v>
      </c>
      <c r="R5" s="60">
        <f t="shared" si="0"/>
        <v>15</v>
      </c>
      <c r="S5" s="60">
        <f t="shared" si="0"/>
        <v>16</v>
      </c>
      <c r="T5" s="60">
        <f t="shared" si="0"/>
        <v>17</v>
      </c>
      <c r="U5" s="60">
        <f t="shared" si="0"/>
        <v>18</v>
      </c>
      <c r="V5" s="60">
        <f t="shared" si="0"/>
        <v>19</v>
      </c>
      <c r="W5" s="60">
        <f t="shared" si="0"/>
        <v>20</v>
      </c>
      <c r="X5" s="60">
        <f t="shared" si="0"/>
        <v>21</v>
      </c>
      <c r="Y5" s="60">
        <f t="shared" si="0"/>
        <v>22</v>
      </c>
      <c r="Z5" s="60">
        <f t="shared" si="0"/>
        <v>23</v>
      </c>
      <c r="AA5" s="60">
        <f t="shared" si="0"/>
        <v>24</v>
      </c>
      <c r="AB5" s="60" t="s">
        <v>134</v>
      </c>
      <c r="AC5" s="61"/>
    </row>
    <row r="8" spans="1:29" s="48" customFormat="1" x14ac:dyDescent="0.3">
      <c r="A8"/>
      <c r="B8" s="49" t="s">
        <v>137</v>
      </c>
    </row>
    <row r="9" spans="1:29" x14ac:dyDescent="0.3">
      <c r="B9" t="s">
        <v>138</v>
      </c>
      <c r="D9" s="56">
        <f>ASSUMPTIONS!C58</f>
        <v>55000</v>
      </c>
      <c r="E9" s="57">
        <f>D9*(1+ASSUMPTIONS!$C$26)+ASSUMPTIONS!$C$62*ASSUMPTIONS!$F$16</f>
        <v>56938.577723589704</v>
      </c>
      <c r="F9" s="57">
        <f>E9*(1+ASSUMPTIONS!$C$26)+ASSUMPTIONS!$C$62*ASSUMPTIONS!$F$16</f>
        <v>58892.61393817966</v>
      </c>
      <c r="G9" s="57">
        <f>F9*(1+ASSUMPTIONS!$C$26)+ASSUMPTIONS!$C$62*ASSUMPTIONS!$F$16</f>
        <v>60862.231911947922</v>
      </c>
      <c r="H9" s="57">
        <f>G9*(1+ASSUMPTIONS!$C$26)+ASSUMPTIONS!$C$62*ASSUMPTIONS!$F$16</f>
        <v>62847.555896030302</v>
      </c>
      <c r="I9" s="57">
        <f>H9*(1+ASSUMPTIONS!$C$26)+ASSUMPTIONS!$C$62*ASSUMPTIONS!$F$16</f>
        <v>64848.711132358629</v>
      </c>
      <c r="J9" s="57">
        <f>I9*(1+ASSUMPTIONS!$C$26)+ASSUMPTIONS!$C$62*ASSUMPTIONS!$F$16</f>
        <v>66865.823861561468</v>
      </c>
      <c r="K9" s="57">
        <f>J9*(1+ASSUMPTIONS!$C$26)+ASSUMPTIONS!$C$62*ASSUMPTIONS!$F$16</f>
        <v>68899.021330927906</v>
      </c>
      <c r="L9" s="57">
        <f>K9*(1+ASSUMPTIONS!$C$26)+ASSUMPTIONS!$C$62*ASSUMPTIONS!$F$16</f>
        <v>70948.431802434759</v>
      </c>
      <c r="M9" s="57">
        <f>L9*(1+ASSUMPTIONS!$C$26)+ASSUMPTIONS!$C$62*ASSUMPTIONS!$F$16</f>
        <v>73014.184560837879</v>
      </c>
      <c r="N9" s="57">
        <f>M9*(1+ASSUMPTIONS!$C$26)+ASSUMPTIONS!$C$62*ASSUMPTIONS!$F$16</f>
        <v>75096.409921827901</v>
      </c>
      <c r="O9" s="57">
        <f>N9*(1+ASSUMPTIONS!$C$26)+ASSUMPTIONS!$C$62*ASSUMPTIONS!$F$16</f>
        <v>77195.239240251074</v>
      </c>
      <c r="P9" s="57">
        <f>O9*(1+ASSUMPTIONS!$C$26)+ASSUMPTIONS!$C$62*ASSUMPTIONS!$F$16</f>
        <v>79310.804918395661</v>
      </c>
      <c r="Q9" s="57">
        <f>P9*(1+ASSUMPTIONS!$C$26)+ASSUMPTIONS!$C$62*ASSUMPTIONS!$F$16</f>
        <v>81443.240414344342</v>
      </c>
      <c r="R9" s="57">
        <f>Q9*(1+ASSUMPTIONS!$C$26)+ASSUMPTIONS!$C$62*ASSUMPTIONS!$F$16</f>
        <v>83592.6802503933</v>
      </c>
      <c r="S9" s="57">
        <f>R9*(1+ASSUMPTIONS!$C$26)+ASSUMPTIONS!$C$62*ASSUMPTIONS!$F$16</f>
        <v>85759.260021538386</v>
      </c>
      <c r="T9" s="57">
        <f>S9*(1+ASSUMPTIONS!$C$26)+ASSUMPTIONS!$C$62*ASSUMPTIONS!$F$16</f>
        <v>87943.116404029002</v>
      </c>
      <c r="U9" s="57">
        <f>T9*(1+ASSUMPTIONS!$C$26)+ASSUMPTIONS!$C$62*ASSUMPTIONS!$F$16</f>
        <v>90144.387163990163</v>
      </c>
      <c r="V9" s="57">
        <f>U9*(1+ASSUMPTIONS!$C$26)+ASSUMPTIONS!$C$62*ASSUMPTIONS!$F$16</f>
        <v>92363.211166113295</v>
      </c>
      <c r="W9" s="57">
        <f>V9*(1+ASSUMPTIONS!$C$26)+ASSUMPTIONS!$C$62*ASSUMPTIONS!$F$16</f>
        <v>94599.728382416375</v>
      </c>
      <c r="X9" s="57">
        <f>W9*(1+ASSUMPTIONS!$C$26)+ASSUMPTIONS!$C$62*ASSUMPTIONS!$F$16</f>
        <v>96854.079901073914</v>
      </c>
      <c r="Y9" s="57">
        <f>X9*(1+ASSUMPTIONS!$C$26)+ASSUMPTIONS!$C$62*ASSUMPTIONS!$F$16</f>
        <v>99126.407935317344</v>
      </c>
      <c r="Z9" s="57">
        <f>Y9*(1+ASSUMPTIONS!$C$26)+ASSUMPTIONS!$C$62*ASSUMPTIONS!$F$16</f>
        <v>101416.85583240636</v>
      </c>
      <c r="AA9" s="57">
        <f>Z9*(1+ASSUMPTIONS!$C$26)+ASSUMPTIONS!$C$62*ASSUMPTIONS!$F$16</f>
        <v>103725.56808267186</v>
      </c>
    </row>
    <row r="10" spans="1:29" x14ac:dyDescent="0.3">
      <c r="B10" t="s">
        <v>139</v>
      </c>
      <c r="D10" s="56">
        <f>ASSUMPTIONS!C59</f>
        <v>15000</v>
      </c>
      <c r="E10" s="57">
        <f>D10*(1+ASSUMPTIONS!$C$26)+ASSUMPTIONS!$F$16*ASSUMPTIONS!$C$62</f>
        <v>16619.612106433557</v>
      </c>
      <c r="F10" s="57">
        <f>E10*(1+ASSUMPTIONS!$C$26)+ASSUMPTIONS!$F$16*ASSUMPTIONS!$C$62</f>
        <v>18252.139227244166</v>
      </c>
      <c r="G10" s="57">
        <f>F10*(1+ASSUMPTIONS!$C$26)+ASSUMPTIONS!$F$16*ASSUMPTIONS!$C$62</f>
        <v>19897.684348570114</v>
      </c>
      <c r="H10" s="57">
        <f>G10*(1+ASSUMPTIONS!$C$26)+ASSUMPTIONS!$F$16*ASSUMPTIONS!$C$62</f>
        <v>21556.351277775611</v>
      </c>
      <c r="I10" s="57">
        <f>H10*(1+ASSUMPTIONS!$C$26)+ASSUMPTIONS!$F$16*ASSUMPTIONS!$C$62</f>
        <v>23228.244649999375</v>
      </c>
      <c r="J10" s="57">
        <f>I10*(1+ASSUMPTIONS!$C$26)+ASSUMPTIONS!$F$16*ASSUMPTIONS!$C$62</f>
        <v>24913.469934755401</v>
      </c>
      <c r="K10" s="57">
        <f>J10*(1+ASSUMPTIONS!$C$26)+ASSUMPTIONS!$F$16*ASSUMPTIONS!$C$62</f>
        <v>26612.133442586412</v>
      </c>
      <c r="L10" s="57">
        <f>K10*(1+ASSUMPTIONS!$C$26)+ASSUMPTIONS!$F$16*ASSUMPTIONS!$C$62</f>
        <v>28324.34233177032</v>
      </c>
      <c r="M10" s="57">
        <f>L10*(1+ASSUMPTIONS!$C$26)+ASSUMPTIONS!$F$16*ASSUMPTIONS!$C$62</f>
        <v>30050.204615080202</v>
      </c>
      <c r="N10" s="57">
        <f>M10*(1+ASSUMPTIONS!$C$26)+ASSUMPTIONS!$F$16*ASSUMPTIONS!$C$62</f>
        <v>31789.829166598141</v>
      </c>
      <c r="O10" s="57">
        <f>N10*(1+ASSUMPTIONS!$C$26)+ASSUMPTIONS!$F$16*ASSUMPTIONS!$C$62</f>
        <v>33543.325728583455</v>
      </c>
      <c r="P10" s="57">
        <f>O10*(1+ASSUMPTIONS!$C$26)+ASSUMPTIONS!$F$16*ASSUMPTIONS!$C$62</f>
        <v>35310.804918395639</v>
      </c>
      <c r="Q10" s="57">
        <f>P10*(1+ASSUMPTIONS!$C$26)+ASSUMPTIONS!$F$16*ASSUMPTIONS!$C$62</f>
        <v>37092.378235472548</v>
      </c>
      <c r="R10" s="57">
        <f>Q10*(1+ASSUMPTIONS!$C$26)+ASSUMPTIONS!$F$16*ASSUMPTIONS!$C$62</f>
        <v>38888.158068364217</v>
      </c>
      <c r="S10" s="57">
        <f>R10*(1+ASSUMPTIONS!$C$26)+ASSUMPTIONS!$F$16*ASSUMPTIONS!$C$62</f>
        <v>40698.25770182276</v>
      </c>
      <c r="T10" s="57">
        <f>S10*(1+ASSUMPTIONS!$C$26)+ASSUMPTIONS!$F$16*ASSUMPTIONS!$C$62</f>
        <v>42522.791323948812</v>
      </c>
      <c r="U10" s="57">
        <f>T10*(1+ASSUMPTIONS!$C$26)+ASSUMPTIONS!$F$16*ASSUMPTIONS!$C$62</f>
        <v>44361.874033394954</v>
      </c>
      <c r="V10" s="57">
        <f>U10*(1+ASSUMPTIONS!$C$26)+ASSUMPTIONS!$F$16*ASSUMPTIONS!$C$62</f>
        <v>46215.621846626585</v>
      </c>
      <c r="W10" s="57">
        <f>V10*(1+ASSUMPTIONS!$C$26)+ASSUMPTIONS!$F$16*ASSUMPTIONS!$C$62</f>
        <v>48084.1517052407</v>
      </c>
      <c r="X10" s="57">
        <f>W10*(1+ASSUMPTIONS!$C$26)+ASSUMPTIONS!$F$16*ASSUMPTIONS!$C$62</f>
        <v>49967.581483343005</v>
      </c>
      <c r="Y10" s="57">
        <f>X10*(1+ASSUMPTIONS!$C$26)+ASSUMPTIONS!$F$16*ASSUMPTIONS!$C$62</f>
        <v>51866.029994983874</v>
      </c>
      <c r="Z10" s="57">
        <f>Y10*(1+ASSUMPTIONS!$C$26)+ASSUMPTIONS!$F$16*ASSUMPTIONS!$C$62</f>
        <v>53779.617001653613</v>
      </c>
      <c r="AA10" s="57">
        <f>Z10*(1+ASSUMPTIONS!$C$26)+ASSUMPTIONS!$F$16*ASSUMPTIONS!$C$62</f>
        <v>55708.46321983746</v>
      </c>
    </row>
    <row r="11" spans="1:29" x14ac:dyDescent="0.3">
      <c r="B11" t="s">
        <v>140</v>
      </c>
      <c r="D11" s="56">
        <f>ASSUMPTIONS!C60</f>
        <v>12000</v>
      </c>
      <c r="E11" s="57">
        <f>D11*(1+ASSUMPTIONS!$C$26)+ASSUMPTIONS!$C$62*ASSUMPTIONS!$F$16</f>
        <v>13595.689685146845</v>
      </c>
      <c r="F11" s="57">
        <f>E11*(1+ASSUMPTIONS!$C$26)+ASSUMPTIONS!$C$62*ASSUMPTIONS!$F$16</f>
        <v>15204.103623924004</v>
      </c>
      <c r="G11" s="57">
        <f>F11*(1+ASSUMPTIONS!$C$26)+ASSUMPTIONS!$C$62*ASSUMPTIONS!$F$16</f>
        <v>16825.343281316778</v>
      </c>
      <c r="H11" s="57">
        <f>G11*(1+ASSUMPTIONS!$C$26)+ASSUMPTIONS!$C$62*ASSUMPTIONS!$F$16</f>
        <v>18459.510931406512</v>
      </c>
      <c r="I11" s="57">
        <f>H11*(1+ASSUMPTIONS!$C$26)+ASSUMPTIONS!$C$62*ASSUMPTIONS!$F$16</f>
        <v>20106.709663822432</v>
      </c>
      <c r="J11" s="57">
        <f>I11*(1+ASSUMPTIONS!$C$26)+ASSUMPTIONS!$C$62*ASSUMPTIONS!$F$16</f>
        <v>21767.043390244948</v>
      </c>
      <c r="K11" s="57">
        <f>J11*(1+ASSUMPTIONS!$C$26)+ASSUMPTIONS!$C$62*ASSUMPTIONS!$F$16</f>
        <v>23440.616850960803</v>
      </c>
      <c r="L11" s="57">
        <f>K11*(1+ASSUMPTIONS!$C$26)+ASSUMPTIONS!$C$62*ASSUMPTIONS!$F$16</f>
        <v>25127.535621470492</v>
      </c>
      <c r="M11" s="57">
        <f>L11*(1+ASSUMPTIONS!$C$26)+ASSUMPTIONS!$C$62*ASSUMPTIONS!$F$16</f>
        <v>26827.906119148378</v>
      </c>
      <c r="N11" s="57">
        <f>M11*(1+ASSUMPTIONS!$C$26)+ASSUMPTIONS!$C$62*ASSUMPTIONS!$F$16</f>
        <v>28541.835609955913</v>
      </c>
      <c r="O11" s="57">
        <f>N11*(1+ASSUMPTIONS!$C$26)+ASSUMPTIONS!$C$62*ASSUMPTIONS!$F$16</f>
        <v>30269.432215208388</v>
      </c>
      <c r="P11" s="57">
        <f>O11*(1+ASSUMPTIONS!$C$26)+ASSUMPTIONS!$C$62*ASSUMPTIONS!$F$16</f>
        <v>32010.804918395643</v>
      </c>
      <c r="Q11" s="57">
        <f>P11*(1+ASSUMPTIONS!$C$26)+ASSUMPTIONS!$C$62*ASSUMPTIONS!$F$16</f>
        <v>33766.063572057174</v>
      </c>
      <c r="R11" s="57">
        <f>Q11*(1+ASSUMPTIONS!$C$26)+ASSUMPTIONS!$C$62*ASSUMPTIONS!$F$16</f>
        <v>35535.318904712047</v>
      </c>
      <c r="S11" s="57">
        <f>R11*(1+ASSUMPTIONS!$C$26)+ASSUMPTIONS!$C$62*ASSUMPTIONS!$F$16</f>
        <v>37318.682527844103</v>
      </c>
      <c r="T11" s="57">
        <f>S11*(1+ASSUMPTIONS!$C$26)+ASSUMPTIONS!$C$62*ASSUMPTIONS!$F$16</f>
        <v>39116.266942942806</v>
      </c>
      <c r="U11" s="57">
        <f>T11*(1+ASSUMPTIONS!$C$26)+ASSUMPTIONS!$C$62*ASSUMPTIONS!$F$16</f>
        <v>40928.185548600319</v>
      </c>
      <c r="V11" s="57">
        <f>U11*(1+ASSUMPTIONS!$C$26)+ASSUMPTIONS!$C$62*ASSUMPTIONS!$F$16</f>
        <v>42754.552647665085</v>
      </c>
      <c r="W11" s="57">
        <f>V11*(1+ASSUMPTIONS!$C$26)+ASSUMPTIONS!$C$62*ASSUMPTIONS!$F$16</f>
        <v>44595.483454452522</v>
      </c>
      <c r="X11" s="57">
        <f>W11*(1+ASSUMPTIONS!$C$26)+ASSUMPTIONS!$C$62*ASSUMPTIONS!$F$16</f>
        <v>46451.09410201318</v>
      </c>
      <c r="Y11" s="57">
        <f>X11*(1+ASSUMPTIONS!$C$26)+ASSUMPTIONS!$C$62*ASSUMPTIONS!$F$16</f>
        <v>48321.501649458856</v>
      </c>
      <c r="Z11" s="57">
        <f>Y11*(1+ASSUMPTIONS!$C$26)+ASSUMPTIONS!$C$62*ASSUMPTIONS!$F$16</f>
        <v>50206.824089347145</v>
      </c>
      <c r="AA11" s="57">
        <f>Z11*(1+ASSUMPTIONS!$C$26)+ASSUMPTIONS!$C$62*ASSUMPTIONS!$F$16</f>
        <v>52107.180355124867</v>
      </c>
    </row>
    <row r="12" spans="1:29" x14ac:dyDescent="0.3">
      <c r="B12" t="s">
        <v>141</v>
      </c>
      <c r="D12" s="56">
        <f>ASSUMPTIONS!C61</f>
        <v>10000</v>
      </c>
      <c r="E12" s="57">
        <f>D12*(1+ASSUMPTIONS!$C$26)+ASSUMPTIONS!$C$62*ASSUMPTIONS!$F$16</f>
        <v>11579.741404289038</v>
      </c>
      <c r="F12" s="57">
        <f>E12*(1+ASSUMPTIONS!$C$26)+ASSUMPTIONS!$C$62*ASSUMPTIONS!$F$16</f>
        <v>13172.07988837723</v>
      </c>
      <c r="G12" s="57">
        <f>F12*(1+ASSUMPTIONS!$C$26)+ASSUMPTIONS!$C$62*ASSUMPTIONS!$F$16</f>
        <v>14777.115903147889</v>
      </c>
      <c r="H12" s="57">
        <f>G12*(1+ASSUMPTIONS!$C$26)+ASSUMPTIONS!$C$62*ASSUMPTIONS!$F$16</f>
        <v>16394.950700493777</v>
      </c>
      <c r="I12" s="57">
        <f>H12*(1+ASSUMPTIONS!$C$26)+ASSUMPTIONS!$C$62*ASSUMPTIONS!$F$16</f>
        <v>18025.686339704469</v>
      </c>
      <c r="J12" s="57">
        <f>I12*(1+ASSUMPTIONS!$C$26)+ASSUMPTIONS!$C$62*ASSUMPTIONS!$F$16</f>
        <v>19669.425693904646</v>
      </c>
      <c r="K12" s="57">
        <f>J12*(1+ASSUMPTIONS!$C$26)+ASSUMPTIONS!$C$62*ASSUMPTIONS!$F$16</f>
        <v>21326.272456543731</v>
      </c>
      <c r="L12" s="57">
        <f>K12*(1+ASSUMPTIONS!$C$26)+ASSUMPTIONS!$C$62*ASSUMPTIONS!$F$16</f>
        <v>22996.331147937271</v>
      </c>
      <c r="M12" s="57">
        <f>L12*(1+ASSUMPTIONS!$C$26)+ASSUMPTIONS!$C$62*ASSUMPTIONS!$F$16</f>
        <v>24679.707121860498</v>
      </c>
      <c r="N12" s="57">
        <f>M12*(1+ASSUMPTIONS!$C$26)+ASSUMPTIONS!$C$62*ASSUMPTIONS!$F$16</f>
        <v>26376.50657219443</v>
      </c>
      <c r="O12" s="57">
        <f>N12*(1+ASSUMPTIONS!$C$26)+ASSUMPTIONS!$C$62*ASSUMPTIONS!$F$16</f>
        <v>28086.836539625012</v>
      </c>
      <c r="P12" s="57">
        <f>O12*(1+ASSUMPTIONS!$C$26)+ASSUMPTIONS!$C$62*ASSUMPTIONS!$F$16</f>
        <v>29810.804918395646</v>
      </c>
      <c r="Q12" s="57">
        <f>P12*(1+ASSUMPTIONS!$C$26)+ASSUMPTIONS!$C$62*ASSUMPTIONS!$F$16</f>
        <v>31548.520463113589</v>
      </c>
      <c r="R12" s="57">
        <f>Q12*(1+ASSUMPTIONS!$C$26)+ASSUMPTIONS!$C$62*ASSUMPTIONS!$F$16</f>
        <v>33300.092795610602</v>
      </c>
      <c r="S12" s="57">
        <f>R12*(1+ASSUMPTIONS!$C$26)+ASSUMPTIONS!$C$62*ASSUMPTIONS!$F$16</f>
        <v>35065.632411858329</v>
      </c>
      <c r="T12" s="57">
        <f>S12*(1+ASSUMPTIONS!$C$26)+ASSUMPTIONS!$C$62*ASSUMPTIONS!$F$16</f>
        <v>36845.25068893881</v>
      </c>
      <c r="U12" s="57">
        <f>T12*(1+ASSUMPTIONS!$C$26)+ASSUMPTIONS!$C$62*ASSUMPTIONS!$F$16</f>
        <v>38639.059892070574</v>
      </c>
      <c r="V12" s="57">
        <f>U12*(1+ASSUMPTIONS!$C$26)+ASSUMPTIONS!$C$62*ASSUMPTIONS!$F$16</f>
        <v>40447.17318169077</v>
      </c>
      <c r="W12" s="57">
        <f>V12*(1+ASSUMPTIONS!$C$26)+ASSUMPTIONS!$C$62*ASSUMPTIONS!$F$16</f>
        <v>42269.704620593766</v>
      </c>
      <c r="X12" s="57">
        <f>W12*(1+ASSUMPTIONS!$C$26)+ASSUMPTIONS!$C$62*ASSUMPTIONS!$F$16</f>
        <v>44106.769181126663</v>
      </c>
      <c r="Y12" s="57">
        <f>X12*(1+ASSUMPTIONS!$C$26)+ASSUMPTIONS!$C$62*ASSUMPTIONS!$F$16</f>
        <v>45958.482752442214</v>
      </c>
      <c r="Z12" s="57">
        <f>Y12*(1+ASSUMPTIONS!$C$26)+ASSUMPTIONS!$C$62*ASSUMPTIONS!$F$16</f>
        <v>47824.962147809543</v>
      </c>
      <c r="AA12" s="57">
        <f>Z12*(1+ASSUMPTIONS!$C$26)+ASSUMPTIONS!$C$62*ASSUMPTIONS!$F$16</f>
        <v>49706.325111983184</v>
      </c>
    </row>
    <row r="13" spans="1:29" x14ac:dyDescent="0.3">
      <c r="B13" s="51" t="s">
        <v>142</v>
      </c>
      <c r="D13" s="69">
        <f>SUM(D9:D12)</f>
        <v>92000</v>
      </c>
      <c r="E13" s="70">
        <f>SUM(E9:E12)</f>
        <v>98733.62091945915</v>
      </c>
      <c r="F13" s="70">
        <f t="shared" ref="F13:AA13" si="1">SUM(F9:F12)</f>
        <v>105520.93667772505</v>
      </c>
      <c r="G13" s="70">
        <f t="shared" si="1"/>
        <v>112362.3754449827</v>
      </c>
      <c r="H13" s="70">
        <f t="shared" si="1"/>
        <v>119258.3688057062</v>
      </c>
      <c r="I13" s="70">
        <f t="shared" si="1"/>
        <v>126209.35178588491</v>
      </c>
      <c r="J13" s="70">
        <f t="shared" si="1"/>
        <v>133215.76288046647</v>
      </c>
      <c r="K13" s="70">
        <f t="shared" si="1"/>
        <v>140278.04408101883</v>
      </c>
      <c r="L13" s="70">
        <f t="shared" si="1"/>
        <v>147396.64090361283</v>
      </c>
      <c r="M13" s="70">
        <f t="shared" si="1"/>
        <v>154572.00241692696</v>
      </c>
      <c r="N13" s="70">
        <f t="shared" si="1"/>
        <v>161804.58127057637</v>
      </c>
      <c r="O13" s="70">
        <f t="shared" si="1"/>
        <v>169094.83372366792</v>
      </c>
      <c r="P13" s="70">
        <f t="shared" si="1"/>
        <v>176443.21967358259</v>
      </c>
      <c r="Q13" s="70">
        <f t="shared" si="1"/>
        <v>183850.20268498766</v>
      </c>
      <c r="R13" s="70">
        <f t="shared" si="1"/>
        <v>191316.25001908015</v>
      </c>
      <c r="S13" s="70">
        <f t="shared" si="1"/>
        <v>198841.83266306357</v>
      </c>
      <c r="T13" s="70">
        <f t="shared" si="1"/>
        <v>206427.42535985942</v>
      </c>
      <c r="U13" s="70">
        <f t="shared" si="1"/>
        <v>214073.50663805599</v>
      </c>
      <c r="V13" s="70">
        <f t="shared" si="1"/>
        <v>221780.55884209575</v>
      </c>
      <c r="W13" s="70">
        <f t="shared" si="1"/>
        <v>229549.06816270336</v>
      </c>
      <c r="X13" s="70">
        <f t="shared" si="1"/>
        <v>237379.52466755678</v>
      </c>
      <c r="Y13" s="70">
        <f t="shared" si="1"/>
        <v>245272.42233220229</v>
      </c>
      <c r="Z13" s="70">
        <f t="shared" si="1"/>
        <v>253228.25907121666</v>
      </c>
      <c r="AA13" s="70">
        <f t="shared" si="1"/>
        <v>261247.53676961735</v>
      </c>
      <c r="AB13" s="68">
        <f>IFERROR(AA13*(1+((AA13/O13)^(1/12)-1))*(((1+((AA13/O13)^(1/12)-1))^12-1)/((AA13/O13)^(1/12)-1)),AA13*12)</f>
        <v>3999090.581934033</v>
      </c>
    </row>
    <row r="15" spans="1:29" s="48" customFormat="1" x14ac:dyDescent="0.3">
      <c r="A15"/>
      <c r="B15" s="49" t="s">
        <v>143</v>
      </c>
    </row>
    <row r="16" spans="1:29" x14ac:dyDescent="0.3">
      <c r="B16" t="s">
        <v>144</v>
      </c>
      <c r="D16" s="56">
        <f>ASSUMPTIONS!C63</f>
        <v>3500</v>
      </c>
      <c r="E16" s="57">
        <f>D16*(1+ASSUMPTIONS!$C$25)</f>
        <v>3533.2107752710408</v>
      </c>
      <c r="F16" s="57">
        <f>E16*(1+ASSUMPTIONS!$C$25)</f>
        <v>3566.7366807118256</v>
      </c>
      <c r="G16" s="57">
        <f>F16*(1+ASSUMPTIONS!$C$25)</f>
        <v>3600.580706527282</v>
      </c>
      <c r="H16" s="57">
        <f>G16*(1+ASSUMPTIONS!$C$25)</f>
        <v>3634.7458712957741</v>
      </c>
      <c r="I16" s="57">
        <f>H16*(1+ASSUMPTIONS!$C$25)</f>
        <v>3669.2352222383302</v>
      </c>
      <c r="J16" s="57">
        <f>I16*(1+ASSUMPTIONS!$C$25)</f>
        <v>3704.0518354904284</v>
      </c>
      <c r="K16" s="57">
        <f>J16*(1+ASSUMPTIONS!$C$25)</f>
        <v>3739.1988163763594</v>
      </c>
      <c r="L16" s="57">
        <f>K16*(1+ASSUMPTIONS!$C$25)</f>
        <v>3774.6792996861927</v>
      </c>
      <c r="M16" s="57">
        <f>L16*(1+ASSUMPTIONS!$C$25)</f>
        <v>3810.4964499553721</v>
      </c>
      <c r="N16" s="57">
        <f>M16*(1+ASSUMPTIONS!$C$25)</f>
        <v>3846.6534617469624</v>
      </c>
      <c r="O16" s="57">
        <f>N16*(1+ASSUMPTIONS!$C$25)</f>
        <v>3883.1535599365766</v>
      </c>
      <c r="P16" s="57">
        <f>O16*(1+ASSUMPTIONS!$C$25)</f>
        <v>3920.0000000000036</v>
      </c>
      <c r="Q16" s="57">
        <f>P16*(1+ASSUMPTIONS!$C$25)</f>
        <v>3957.1960683035691</v>
      </c>
      <c r="R16" s="57">
        <f>Q16*(1+ASSUMPTIONS!$C$25)</f>
        <v>3994.7450823972476</v>
      </c>
      <c r="S16" s="57">
        <f>R16*(1+ASSUMPTIONS!$C$25)</f>
        <v>4032.6503913105589</v>
      </c>
      <c r="T16" s="57">
        <f>S16*(1+ASSUMPTIONS!$C$25)</f>
        <v>4070.9153758512703</v>
      </c>
      <c r="U16" s="57">
        <f>T16*(1+ASSUMPTIONS!$C$25)</f>
        <v>4109.543448906933</v>
      </c>
      <c r="V16" s="57">
        <f>U16*(1+ASSUMPTIONS!$C$25)</f>
        <v>4148.5380557492836</v>
      </c>
      <c r="W16" s="57">
        <f>V16*(1+ASSUMPTIONS!$C$25)</f>
        <v>4187.9026743415261</v>
      </c>
      <c r="X16" s="57">
        <f>W16*(1+ASSUMPTIONS!$C$25)</f>
        <v>4227.6408156485395</v>
      </c>
      <c r="Y16" s="57">
        <f>X16*(1+ASSUMPTIONS!$C$25)</f>
        <v>4267.7560239500199</v>
      </c>
      <c r="Z16" s="57">
        <f>Y16*(1+ASSUMPTIONS!$C$25)</f>
        <v>4308.251877156601</v>
      </c>
      <c r="AA16" s="57">
        <f>Z16*(1+ASSUMPTIONS!$C$25)</f>
        <v>4349.1319871289688</v>
      </c>
    </row>
    <row r="17" spans="1:28" x14ac:dyDescent="0.3">
      <c r="B17" t="s">
        <v>145</v>
      </c>
      <c r="D17" s="56">
        <f>ASSUMPTIONS!C64</f>
        <v>6500</v>
      </c>
      <c r="E17" s="57">
        <f>D17*(1+ASSUMPTIONS!$C$25)</f>
        <v>6561.6771540747895</v>
      </c>
      <c r="F17" s="57">
        <f>E17*(1+ASSUMPTIONS!$C$25)</f>
        <v>6623.9395498933891</v>
      </c>
      <c r="G17" s="57">
        <f>F17*(1+ASSUMPTIONS!$C$25)</f>
        <v>6686.7927406935223</v>
      </c>
      <c r="H17" s="57">
        <f>G17*(1+ASSUMPTIONS!$C$25)</f>
        <v>6750.2423324064366</v>
      </c>
      <c r="I17" s="57">
        <f>H17*(1+ASSUMPTIONS!$C$25)</f>
        <v>6814.2939841568977</v>
      </c>
      <c r="J17" s="57">
        <f>I17*(1+ASSUMPTIONS!$C$25)</f>
        <v>6878.9534087679376</v>
      </c>
      <c r="K17" s="57">
        <f>J17*(1+ASSUMPTIONS!$C$25)</f>
        <v>6944.2263732703805</v>
      </c>
      <c r="L17" s="57">
        <f>K17*(1+ASSUMPTIONS!$C$25)</f>
        <v>7010.118699417214</v>
      </c>
      <c r="M17" s="57">
        <f>L17*(1+ASSUMPTIONS!$C$25)</f>
        <v>7076.6362642028325</v>
      </c>
      <c r="N17" s="57">
        <f>M17*(1+ASSUMPTIONS!$C$25)</f>
        <v>7143.7850003872145</v>
      </c>
      <c r="O17" s="57">
        <f>N17*(1+ASSUMPTIONS!$C$25)</f>
        <v>7211.5708970250689</v>
      </c>
      <c r="P17" s="57">
        <f>O17*(1+ASSUMPTIONS!$C$25)</f>
        <v>7280.0000000000055</v>
      </c>
      <c r="Q17" s="57">
        <f>P17*(1+ASSUMPTIONS!$C$25)</f>
        <v>7349.0784125637701</v>
      </c>
      <c r="R17" s="57">
        <f>Q17*(1+ASSUMPTIONS!$C$25)</f>
        <v>7418.8122958806016</v>
      </c>
      <c r="S17" s="57">
        <f>R17*(1+ASSUMPTIONS!$C$25)</f>
        <v>7489.2078695767514</v>
      </c>
      <c r="T17" s="57">
        <f>S17*(1+ASSUMPTIONS!$C$25)</f>
        <v>7560.2714122952148</v>
      </c>
      <c r="U17" s="57">
        <f>T17*(1+ASSUMPTIONS!$C$25)</f>
        <v>7632.0092622557322</v>
      </c>
      <c r="V17" s="57">
        <f>U17*(1+ASSUMPTIONS!$C$25)</f>
        <v>7704.4278178200966</v>
      </c>
      <c r="W17" s="57">
        <f>V17*(1+ASSUMPTIONS!$C$25)</f>
        <v>7777.533538062833</v>
      </c>
      <c r="X17" s="57">
        <f>W17*(1+ASSUMPTIONS!$C$25)</f>
        <v>7851.3329433472863</v>
      </c>
      <c r="Y17" s="57">
        <f>X17*(1+ASSUMPTIONS!$C$25)</f>
        <v>7925.8326159071794</v>
      </c>
      <c r="Z17" s="57">
        <f>Y17*(1+ASSUMPTIONS!$C$25)</f>
        <v>8001.0392004336873</v>
      </c>
      <c r="AA17" s="57">
        <f>Z17*(1+ASSUMPTIONS!$C$25)</f>
        <v>8076.9594046680841</v>
      </c>
    </row>
    <row r="18" spans="1:28" x14ac:dyDescent="0.3">
      <c r="B18" t="s">
        <v>146</v>
      </c>
      <c r="D18" s="56">
        <f>ASSUMPTIONS!C65</f>
        <v>5500</v>
      </c>
      <c r="E18" s="57">
        <f>D18*(1+ASSUMPTIONS!$C$25)</f>
        <v>5552.1883611402063</v>
      </c>
      <c r="F18" s="57">
        <f>E18*(1+ASSUMPTIONS!$C$25)</f>
        <v>5604.8719268328678</v>
      </c>
      <c r="G18" s="57">
        <f>F18*(1+ASSUMPTIONS!$C$25)</f>
        <v>5658.0553959714425</v>
      </c>
      <c r="H18" s="57">
        <f>G18*(1+ASSUMPTIONS!$C$25)</f>
        <v>5711.7435120362161</v>
      </c>
      <c r="I18" s="57">
        <f>H18*(1+ASSUMPTIONS!$C$25)</f>
        <v>5765.9410635173763</v>
      </c>
      <c r="J18" s="57">
        <f>I18*(1+ASSUMPTIONS!$C$25)</f>
        <v>5820.652884342102</v>
      </c>
      <c r="K18" s="57">
        <f>J18*(1+ASSUMPTIONS!$C$25)</f>
        <v>5875.8838543057082</v>
      </c>
      <c r="L18" s="57">
        <f>K18*(1+ASSUMPTIONS!$C$25)</f>
        <v>5931.6388995068746</v>
      </c>
      <c r="M18" s="57">
        <f>L18*(1+ASSUMPTIONS!$C$25)</f>
        <v>5987.9229927870138</v>
      </c>
      <c r="N18" s="57">
        <f>M18*(1+ASSUMPTIONS!$C$25)</f>
        <v>6044.7411541737983</v>
      </c>
      <c r="O18" s="57">
        <f>N18*(1+ASSUMPTIONS!$C$25)</f>
        <v>6102.0984513289059</v>
      </c>
      <c r="P18" s="57">
        <f>O18*(1+ASSUMPTIONS!$C$25)</f>
        <v>6160.0000000000055</v>
      </c>
      <c r="Q18" s="57">
        <f>P18*(1+ASSUMPTIONS!$C$25)</f>
        <v>6218.4509644770369</v>
      </c>
      <c r="R18" s="57">
        <f>Q18*(1+ASSUMPTIONS!$C$25)</f>
        <v>6277.4565580528179</v>
      </c>
      <c r="S18" s="57">
        <f>R18*(1+ASSUMPTIONS!$C$25)</f>
        <v>6337.0220434880212</v>
      </c>
      <c r="T18" s="57">
        <f>S18*(1+ASSUMPTIONS!$C$25)</f>
        <v>6397.1527334805669</v>
      </c>
      <c r="U18" s="57">
        <f>T18*(1+ASSUMPTIONS!$C$25)</f>
        <v>6457.8539911394655</v>
      </c>
      <c r="V18" s="57">
        <f>U18*(1+ASSUMPTIONS!$C$25)</f>
        <v>6519.1312304631583</v>
      </c>
      <c r="W18" s="57">
        <f>V18*(1+ASSUMPTIONS!$C$25)</f>
        <v>6580.9899168223965</v>
      </c>
      <c r="X18" s="57">
        <f>W18*(1+ASSUMPTIONS!$C$25)</f>
        <v>6643.4355674477029</v>
      </c>
      <c r="Y18" s="57">
        <f>X18*(1+ASSUMPTIONS!$C$25)</f>
        <v>6706.4737519214586</v>
      </c>
      <c r="Z18" s="57">
        <f>Y18*(1+ASSUMPTIONS!$C$25)</f>
        <v>6770.1100926746576</v>
      </c>
      <c r="AA18" s="57">
        <f>Z18*(1+ASSUMPTIONS!$C$25)</f>
        <v>6834.3502654883787</v>
      </c>
    </row>
    <row r="19" spans="1:28" x14ac:dyDescent="0.3">
      <c r="B19" t="s">
        <v>147</v>
      </c>
      <c r="D19" s="56">
        <f>ASSUMPTIONS!C66</f>
        <v>2500</v>
      </c>
      <c r="E19" s="57">
        <f>D19*(1+ASSUMPTIONS!$C$25)</f>
        <v>2523.7219823364576</v>
      </c>
      <c r="F19" s="57">
        <f>E19*(1+ASSUMPTIONS!$C$25)</f>
        <v>2547.6690576513038</v>
      </c>
      <c r="G19" s="57">
        <f>F19*(1+ASSUMPTIONS!$C$25)</f>
        <v>2571.8433618052013</v>
      </c>
      <c r="H19" s="57">
        <f>G19*(1+ASSUMPTIONS!$C$25)</f>
        <v>2596.2470509255527</v>
      </c>
      <c r="I19" s="57">
        <f>H19*(1+ASSUMPTIONS!$C$25)</f>
        <v>2620.8823015988073</v>
      </c>
      <c r="J19" s="57">
        <f>I19*(1+ASSUMPTIONS!$C$25)</f>
        <v>2645.7513110645918</v>
      </c>
      <c r="K19" s="57">
        <f>J19*(1+ASSUMPTIONS!$C$25)</f>
        <v>2670.8562974116853</v>
      </c>
      <c r="L19" s="57">
        <f>K19*(1+ASSUMPTIONS!$C$25)</f>
        <v>2696.199499775852</v>
      </c>
      <c r="M19" s="57">
        <f>L19*(1+ASSUMPTIONS!$C$25)</f>
        <v>2721.7831785395515</v>
      </c>
      <c r="N19" s="57">
        <f>M19*(1+ASSUMPTIONS!$C$25)</f>
        <v>2747.6096155335445</v>
      </c>
      <c r="O19" s="57">
        <f>N19*(1+ASSUMPTIONS!$C$25)</f>
        <v>2773.6811142404117</v>
      </c>
      <c r="P19" s="57">
        <f>O19*(1+ASSUMPTIONS!$C$25)</f>
        <v>2800.0000000000027</v>
      </c>
      <c r="Q19" s="57">
        <f>P19*(1+ASSUMPTIONS!$C$25)</f>
        <v>2826.5686202168354</v>
      </c>
      <c r="R19" s="57">
        <f>Q19*(1+ASSUMPTIONS!$C$25)</f>
        <v>2853.389344569463</v>
      </c>
      <c r="S19" s="57">
        <f>R19*(1+ASSUMPTIONS!$C$25)</f>
        <v>2880.4645652218283</v>
      </c>
      <c r="T19" s="57">
        <f>S19*(1+ASSUMPTIONS!$C$25)</f>
        <v>2907.7966970366219</v>
      </c>
      <c r="U19" s="57">
        <f>T19*(1+ASSUMPTIONS!$C$25)</f>
        <v>2935.3881777906668</v>
      </c>
      <c r="V19" s="57">
        <f>U19*(1+ASSUMPTIONS!$C$25)</f>
        <v>2963.2414683923453</v>
      </c>
      <c r="W19" s="57">
        <f>V19*(1+ASSUMPTIONS!$C$25)</f>
        <v>2991.35905310109</v>
      </c>
      <c r="X19" s="57">
        <f>W19*(1+ASSUMPTIONS!$C$25)</f>
        <v>3019.7434397489565</v>
      </c>
      <c r="Y19" s="57">
        <f>X19*(1+ASSUMPTIONS!$C$25)</f>
        <v>3048.3971599643</v>
      </c>
      <c r="Z19" s="57">
        <f>Y19*(1+ASSUMPTIONS!$C$25)</f>
        <v>3077.3227693975723</v>
      </c>
      <c r="AA19" s="57">
        <f>Z19*(1+ASSUMPTIONS!$C$25)</f>
        <v>3106.5228479492635</v>
      </c>
    </row>
    <row r="20" spans="1:28" x14ac:dyDescent="0.3">
      <c r="B20" s="51" t="s">
        <v>148</v>
      </c>
      <c r="D20" s="69">
        <f>SUM(D16:D19)</f>
        <v>18000</v>
      </c>
      <c r="E20" s="69">
        <f>SUM(E16:E19)</f>
        <v>18170.798272822496</v>
      </c>
      <c r="F20" s="69">
        <f t="shared" ref="F20:AA20" si="2">SUM(F16:F19)</f>
        <v>18343.217215089386</v>
      </c>
      <c r="G20" s="69">
        <f t="shared" si="2"/>
        <v>18517.272204997447</v>
      </c>
      <c r="H20" s="69">
        <f t="shared" si="2"/>
        <v>18692.978766663982</v>
      </c>
      <c r="I20" s="69">
        <f t="shared" si="2"/>
        <v>18870.352571511408</v>
      </c>
      <c r="J20" s="69">
        <f t="shared" si="2"/>
        <v>19049.409439665058</v>
      </c>
      <c r="K20" s="69">
        <f t="shared" si="2"/>
        <v>19230.165341364132</v>
      </c>
      <c r="L20" s="69">
        <f t="shared" si="2"/>
        <v>19412.636398386134</v>
      </c>
      <c r="M20" s="69">
        <f t="shared" si="2"/>
        <v>19596.838885484769</v>
      </c>
      <c r="N20" s="69">
        <f t="shared" si="2"/>
        <v>19782.789231841522</v>
      </c>
      <c r="O20" s="69">
        <f t="shared" si="2"/>
        <v>19970.504022530964</v>
      </c>
      <c r="P20" s="69">
        <f t="shared" si="2"/>
        <v>20160.000000000018</v>
      </c>
      <c r="Q20" s="69">
        <f t="shared" si="2"/>
        <v>20351.294065561211</v>
      </c>
      <c r="R20" s="69">
        <f t="shared" si="2"/>
        <v>20544.403280900129</v>
      </c>
      <c r="S20" s="69">
        <f t="shared" si="2"/>
        <v>20739.34486959716</v>
      </c>
      <c r="T20" s="69">
        <f t="shared" si="2"/>
        <v>20936.136218663672</v>
      </c>
      <c r="U20" s="69">
        <f t="shared" si="2"/>
        <v>21134.794880092799</v>
      </c>
      <c r="V20" s="69">
        <f t="shared" si="2"/>
        <v>21335.338572424884</v>
      </c>
      <c r="W20" s="69">
        <f t="shared" si="2"/>
        <v>21537.785182327843</v>
      </c>
      <c r="X20" s="69">
        <f t="shared" si="2"/>
        <v>21742.152766192485</v>
      </c>
      <c r="Y20" s="69">
        <f t="shared" si="2"/>
        <v>21948.459551742959</v>
      </c>
      <c r="Z20" s="69">
        <f t="shared" si="2"/>
        <v>22156.723939662519</v>
      </c>
      <c r="AA20" s="69">
        <f t="shared" si="2"/>
        <v>22366.964505234697</v>
      </c>
      <c r="AB20" s="68">
        <f>IFERROR(AA20*(1+((AA20/O20)^(1/12)-1))*(((1+((AA20/O20)^(1/12)-1))^12-1)/((AA20/O20)^(1/12)-1)),AA20*12)</f>
        <v>285547.8055722898</v>
      </c>
    </row>
    <row r="22" spans="1:28" s="48" customFormat="1" x14ac:dyDescent="0.3">
      <c r="A22"/>
      <c r="B22" s="49" t="s">
        <v>149</v>
      </c>
    </row>
    <row r="23" spans="1:28" x14ac:dyDescent="0.3">
      <c r="B23" t="s">
        <v>150</v>
      </c>
      <c r="D23" s="56">
        <f>ASSUMPTIONS!C67</f>
        <v>12000</v>
      </c>
      <c r="E23" s="57">
        <f>D23*(1+ASSUMPTIONS!$C$25)</f>
        <v>12113.865515214997</v>
      </c>
      <c r="F23" s="57">
        <f>E23*(1+ASSUMPTIONS!$C$25)</f>
        <v>12228.811476726258</v>
      </c>
      <c r="G23" s="57">
        <f>F23*(1+ASSUMPTIONS!$C$25)</f>
        <v>12344.848136664967</v>
      </c>
      <c r="H23" s="57">
        <f>G23*(1+ASSUMPTIONS!$C$25)</f>
        <v>12461.985844442654</v>
      </c>
      <c r="I23" s="57">
        <f>H23*(1+ASSUMPTIONS!$C$25)</f>
        <v>12580.235047674276</v>
      </c>
      <c r="J23" s="57">
        <f>I23*(1+ASSUMPTIONS!$C$25)</f>
        <v>12699.606293110042</v>
      </c>
      <c r="K23" s="57">
        <f>J23*(1+ASSUMPTIONS!$C$25)</f>
        <v>12820.110227576091</v>
      </c>
      <c r="L23" s="57">
        <f>K23*(1+ASSUMPTIONS!$C$25)</f>
        <v>12941.75759892409</v>
      </c>
      <c r="M23" s="57">
        <f>L23*(1+ASSUMPTIONS!$C$25)</f>
        <v>13064.559256989847</v>
      </c>
      <c r="N23" s="57">
        <f>M23*(1+ASSUMPTIONS!$C$25)</f>
        <v>13188.526154561014</v>
      </c>
      <c r="O23" s="57">
        <f>N23*(1+ASSUMPTIONS!$C$25)</f>
        <v>13313.669348353977</v>
      </c>
      <c r="P23" s="57">
        <f>O23*(1+ASSUMPTIONS!$C$25)</f>
        <v>13440.000000000013</v>
      </c>
      <c r="Q23" s="57">
        <f>P23*(1+ASSUMPTIONS!$C$25)</f>
        <v>13567.52937704081</v>
      </c>
      <c r="R23" s="57">
        <f>Q23*(1+ASSUMPTIONS!$C$25)</f>
        <v>13696.268853933423</v>
      </c>
      <c r="S23" s="57">
        <f>R23*(1+ASSUMPTIONS!$C$25)</f>
        <v>13826.229913064777</v>
      </c>
      <c r="T23" s="57">
        <f>S23*(1+ASSUMPTIONS!$C$25)</f>
        <v>13957.424145775787</v>
      </c>
      <c r="U23" s="57">
        <f>T23*(1+ASSUMPTIONS!$C$25)</f>
        <v>14089.863253395204</v>
      </c>
      <c r="V23" s="57">
        <f>U23*(1+ASSUMPTIONS!$C$25)</f>
        <v>14223.559048283261</v>
      </c>
      <c r="W23" s="57">
        <f>V23*(1+ASSUMPTIONS!$C$25)</f>
        <v>14358.523454885237</v>
      </c>
      <c r="X23" s="57">
        <f>W23*(1+ASSUMPTIONS!$C$25)</f>
        <v>14494.768510794996</v>
      </c>
      <c r="Y23" s="57">
        <f>X23*(1+ASSUMPTIONS!$C$25)</f>
        <v>14632.306367828645</v>
      </c>
      <c r="Z23" s="57">
        <f>Y23*(1+ASSUMPTIONS!$C$25)</f>
        <v>14771.149293108352</v>
      </c>
      <c r="AA23" s="57">
        <f>Z23*(1+ASSUMPTIONS!$C$25)</f>
        <v>14911.30967015647</v>
      </c>
    </row>
    <row r="24" spans="1:28" x14ac:dyDescent="0.3">
      <c r="B24" t="s">
        <v>151</v>
      </c>
      <c r="D24" s="56">
        <f>ASSUMPTIONS!C68</f>
        <v>3000</v>
      </c>
      <c r="E24" s="57">
        <f>D24*(1+ASSUMPTIONS!$C$25)</f>
        <v>3028.4663788037492</v>
      </c>
      <c r="F24" s="57">
        <f>E24*(1+ASSUMPTIONS!$C$25)</f>
        <v>3057.2028691815644</v>
      </c>
      <c r="G24" s="57">
        <f>F24*(1+ASSUMPTIONS!$C$25)</f>
        <v>3086.2120341662417</v>
      </c>
      <c r="H24" s="57">
        <f>G24*(1+ASSUMPTIONS!$C$25)</f>
        <v>3115.4964611106634</v>
      </c>
      <c r="I24" s="57">
        <f>H24*(1+ASSUMPTIONS!$C$25)</f>
        <v>3145.058761918569</v>
      </c>
      <c r="J24" s="57">
        <f>I24*(1+ASSUMPTIONS!$C$25)</f>
        <v>3174.9015732775106</v>
      </c>
      <c r="K24" s="57">
        <f>J24*(1+ASSUMPTIONS!$C$25)</f>
        <v>3205.0275568940228</v>
      </c>
      <c r="L24" s="57">
        <f>K24*(1+ASSUMPTIONS!$C$25)</f>
        <v>3235.4393997310226</v>
      </c>
      <c r="M24" s="57">
        <f>L24*(1+ASSUMPTIONS!$C$25)</f>
        <v>3266.1398142474618</v>
      </c>
      <c r="N24" s="57">
        <f>M24*(1+ASSUMPTIONS!$C$25)</f>
        <v>3297.1315386402534</v>
      </c>
      <c r="O24" s="57">
        <f>N24*(1+ASSUMPTIONS!$C$25)</f>
        <v>3328.4173370884942</v>
      </c>
      <c r="P24" s="57">
        <f>O24*(1+ASSUMPTIONS!$C$25)</f>
        <v>3360.0000000000032</v>
      </c>
      <c r="Q24" s="57">
        <f>P24*(1+ASSUMPTIONS!$C$25)</f>
        <v>3391.8823442602024</v>
      </c>
      <c r="R24" s="57">
        <f>Q24*(1+ASSUMPTIONS!$C$25)</f>
        <v>3424.0672134833558</v>
      </c>
      <c r="S24" s="57">
        <f>R24*(1+ASSUMPTIONS!$C$25)</f>
        <v>3456.5574782661943</v>
      </c>
      <c r="T24" s="57">
        <f>S24*(1+ASSUMPTIONS!$C$25)</f>
        <v>3489.3560364439468</v>
      </c>
      <c r="U24" s="57">
        <f>T24*(1+ASSUMPTIONS!$C$25)</f>
        <v>3522.465813348801</v>
      </c>
      <c r="V24" s="57">
        <f>U24*(1+ASSUMPTIONS!$C$25)</f>
        <v>3555.8897620708153</v>
      </c>
      <c r="W24" s="57">
        <f>V24*(1+ASSUMPTIONS!$C$25)</f>
        <v>3589.6308637213092</v>
      </c>
      <c r="X24" s="57">
        <f>W24*(1+ASSUMPTIONS!$C$25)</f>
        <v>3623.6921276987491</v>
      </c>
      <c r="Y24" s="57">
        <f>X24*(1+ASSUMPTIONS!$C$25)</f>
        <v>3658.0765919571613</v>
      </c>
      <c r="Z24" s="57">
        <f>Y24*(1+ASSUMPTIONS!$C$25)</f>
        <v>3692.787323277088</v>
      </c>
      <c r="AA24" s="57">
        <f>Z24*(1+ASSUMPTIONS!$C$25)</f>
        <v>3727.8274175391175</v>
      </c>
    </row>
    <row r="25" spans="1:28" x14ac:dyDescent="0.3">
      <c r="B25" s="51" t="s">
        <v>152</v>
      </c>
      <c r="D25" s="70">
        <f>SUM(D23:D24)</f>
        <v>15000</v>
      </c>
      <c r="E25" s="70">
        <f>SUM(E23:E24)</f>
        <v>15142.331894018746</v>
      </c>
      <c r="F25" s="70">
        <f t="shared" ref="F25:AA25" si="3">SUM(F23:F24)</f>
        <v>15286.014345907823</v>
      </c>
      <c r="G25" s="70">
        <f t="shared" si="3"/>
        <v>15431.060170831208</v>
      </c>
      <c r="H25" s="70">
        <f t="shared" si="3"/>
        <v>15577.482305553316</v>
      </c>
      <c r="I25" s="70">
        <f t="shared" si="3"/>
        <v>15725.293809592844</v>
      </c>
      <c r="J25" s="70">
        <f t="shared" si="3"/>
        <v>15874.507866387554</v>
      </c>
      <c r="K25" s="70">
        <f t="shared" si="3"/>
        <v>16025.137784470115</v>
      </c>
      <c r="L25" s="70">
        <f t="shared" si="3"/>
        <v>16177.196998655112</v>
      </c>
      <c r="M25" s="70">
        <f t="shared" si="3"/>
        <v>16330.699071237308</v>
      </c>
      <c r="N25" s="70">
        <f t="shared" si="3"/>
        <v>16485.657693201269</v>
      </c>
      <c r="O25" s="70">
        <f t="shared" si="3"/>
        <v>16642.086685442471</v>
      </c>
      <c r="P25" s="70">
        <f t="shared" si="3"/>
        <v>16800.000000000015</v>
      </c>
      <c r="Q25" s="70">
        <f t="shared" si="3"/>
        <v>16959.41172130101</v>
      </c>
      <c r="R25" s="70">
        <f t="shared" si="3"/>
        <v>17120.336067416778</v>
      </c>
      <c r="S25" s="70">
        <f t="shared" si="3"/>
        <v>17282.78739133097</v>
      </c>
      <c r="T25" s="70">
        <f t="shared" si="3"/>
        <v>17446.780182219733</v>
      </c>
      <c r="U25" s="70">
        <f t="shared" si="3"/>
        <v>17612.329066744005</v>
      </c>
      <c r="V25" s="70">
        <f t="shared" si="3"/>
        <v>17779.448810354075</v>
      </c>
      <c r="W25" s="70">
        <f t="shared" si="3"/>
        <v>17948.154318606546</v>
      </c>
      <c r="X25" s="70">
        <f t="shared" si="3"/>
        <v>18118.460638493747</v>
      </c>
      <c r="Y25" s="70">
        <f t="shared" si="3"/>
        <v>18290.382959785806</v>
      </c>
      <c r="Z25" s="70">
        <f t="shared" si="3"/>
        <v>18463.936616385439</v>
      </c>
      <c r="AA25" s="70">
        <f t="shared" si="3"/>
        <v>18639.137087695588</v>
      </c>
      <c r="AB25" s="68">
        <f>IFERROR(AA25*(1+((AA25/O25)^(1/12)-1))*(((1+((AA25/O25)^(1/12)-1))^12-1)/((AA25/O25)^(1/12)-1)),AA25*12)</f>
        <v>237956.50464357497</v>
      </c>
    </row>
    <row r="26" spans="1:28" x14ac:dyDescent="0.3">
      <c r="B26" t="s">
        <v>153</v>
      </c>
      <c r="D26" s="57">
        <f>D25</f>
        <v>15000</v>
      </c>
      <c r="E26" s="57">
        <f>D26+E25</f>
        <v>30142.331894018746</v>
      </c>
      <c r="F26" s="57">
        <f t="shared" ref="F26:AA26" si="4">E26+F25</f>
        <v>45428.34623992657</v>
      </c>
      <c r="G26" s="57">
        <f t="shared" si="4"/>
        <v>60859.40641075778</v>
      </c>
      <c r="H26" s="57">
        <f t="shared" si="4"/>
        <v>76436.888716311092</v>
      </c>
      <c r="I26" s="57">
        <f t="shared" si="4"/>
        <v>92162.182525903932</v>
      </c>
      <c r="J26" s="57">
        <f t="shared" si="4"/>
        <v>108036.69039229149</v>
      </c>
      <c r="K26" s="57">
        <f t="shared" si="4"/>
        <v>124061.82817676161</v>
      </c>
      <c r="L26" s="57">
        <f t="shared" si="4"/>
        <v>140239.02517541673</v>
      </c>
      <c r="M26" s="57">
        <f t="shared" si="4"/>
        <v>156569.72424665402</v>
      </c>
      <c r="N26" s="57">
        <f t="shared" si="4"/>
        <v>173055.38193985529</v>
      </c>
      <c r="O26" s="57">
        <f t="shared" si="4"/>
        <v>189697.46862529777</v>
      </c>
      <c r="P26" s="57">
        <f t="shared" si="4"/>
        <v>206497.46862529777</v>
      </c>
      <c r="Q26" s="57">
        <f t="shared" si="4"/>
        <v>223456.88034659877</v>
      </c>
      <c r="R26" s="57">
        <f t="shared" si="4"/>
        <v>240577.21641401557</v>
      </c>
      <c r="S26" s="57">
        <f t="shared" si="4"/>
        <v>257860.00380534653</v>
      </c>
      <c r="T26" s="57">
        <f t="shared" si="4"/>
        <v>275306.78398756625</v>
      </c>
      <c r="U26" s="57">
        <f t="shared" si="4"/>
        <v>292919.11305431026</v>
      </c>
      <c r="V26" s="57">
        <f t="shared" si="4"/>
        <v>310698.56186466431</v>
      </c>
      <c r="W26" s="57">
        <f t="shared" si="4"/>
        <v>328646.71618327085</v>
      </c>
      <c r="X26" s="57">
        <f t="shared" si="4"/>
        <v>346765.17682176462</v>
      </c>
      <c r="Y26" s="57">
        <f t="shared" si="4"/>
        <v>365055.55978155043</v>
      </c>
      <c r="Z26" s="57">
        <f t="shared" si="4"/>
        <v>383519.49639793584</v>
      </c>
      <c r="AA26" s="57">
        <f t="shared" si="4"/>
        <v>402158.63348563144</v>
      </c>
      <c r="AB26" s="68">
        <f>AA26+AB25</f>
        <v>640115.13812920637</v>
      </c>
    </row>
    <row r="27" spans="1:28" x14ac:dyDescent="0.3">
      <c r="B27" t="s">
        <v>154</v>
      </c>
      <c r="D27" s="57">
        <f>D26/ASSUMPTIONS!$C$69</f>
        <v>312.5</v>
      </c>
      <c r="E27" s="57">
        <f>E26/ASSUMPTIONS!$C$69</f>
        <v>627.9652477920572</v>
      </c>
      <c r="F27" s="57">
        <f>F26/ASSUMPTIONS!$C$69</f>
        <v>946.42387999847017</v>
      </c>
      <c r="G27" s="57">
        <f>G26/ASSUMPTIONS!$C$69</f>
        <v>1267.9043002241203</v>
      </c>
      <c r="H27" s="57">
        <f>H26/ASSUMPTIONS!$C$69</f>
        <v>1592.4351815898144</v>
      </c>
      <c r="I27" s="57">
        <f>I26/ASSUMPTIONS!$C$69</f>
        <v>1920.0454692896653</v>
      </c>
      <c r="J27" s="57">
        <f>J26/ASSUMPTIONS!$C$69</f>
        <v>2250.7643831727396</v>
      </c>
      <c r="K27" s="57">
        <f>K26/ASSUMPTIONS!$C$69</f>
        <v>2584.6214203492004</v>
      </c>
      <c r="L27" s="57">
        <f>L26/ASSUMPTIONS!$C$69</f>
        <v>2921.6463578211819</v>
      </c>
      <c r="M27" s="57">
        <f>M26/ASSUMPTIONS!$C$69</f>
        <v>3261.8692551386252</v>
      </c>
      <c r="N27" s="57">
        <f>N26/ASSUMPTIONS!$C$69</f>
        <v>3605.3204570803186</v>
      </c>
      <c r="O27" s="57">
        <f>O26/ASSUMPTIONS!$C$69</f>
        <v>3952.0305963603701</v>
      </c>
      <c r="P27" s="57">
        <f>P26/ASSUMPTIONS!$C$69</f>
        <v>4302.0305963603705</v>
      </c>
      <c r="Q27" s="57">
        <f>Q26/ASSUMPTIONS!$C$69</f>
        <v>4655.3516738874741</v>
      </c>
      <c r="R27" s="57">
        <f>R26/ASSUMPTIONS!$C$69</f>
        <v>5012.0253419586579</v>
      </c>
      <c r="S27" s="57">
        <f>S26/ASSUMPTIONS!$C$69</f>
        <v>5372.0834126113859</v>
      </c>
      <c r="T27" s="57">
        <f>T26/ASSUMPTIONS!$C$69</f>
        <v>5735.5579997409632</v>
      </c>
      <c r="U27" s="57">
        <f>U26/ASSUMPTIONS!$C$69</f>
        <v>6102.4815219647971</v>
      </c>
      <c r="V27" s="57">
        <f>V26/ASSUMPTIONS!$C$69</f>
        <v>6472.8867055138398</v>
      </c>
      <c r="W27" s="57">
        <f>W26/ASSUMPTIONS!$C$69</f>
        <v>6846.8065871514764</v>
      </c>
      <c r="X27" s="57">
        <f>X26/ASSUMPTIONS!$C$69</f>
        <v>7224.2745171200959</v>
      </c>
      <c r="Y27" s="57">
        <f>Y26/ASSUMPTIONS!$C$69</f>
        <v>7605.324162115634</v>
      </c>
      <c r="Z27" s="57">
        <f>Z26/ASSUMPTIONS!$C$69</f>
        <v>7989.9895082903304</v>
      </c>
      <c r="AA27" s="57">
        <f>AA26/ASSUMPTIONS!$C$69</f>
        <v>8378.3048642839876</v>
      </c>
      <c r="AB27" s="68">
        <f>IFERROR(AA27*(1+((AA27/O27)^(1/12)-1))*(((1+((AA27/O27)^(1/12)-1))^12-1)/((AA27/O27)^(1/12)-1)),AA27*12)</f>
        <v>154597.09004584601</v>
      </c>
    </row>
    <row r="28" spans="1:28" x14ac:dyDescent="0.3">
      <c r="B28" t="s">
        <v>155</v>
      </c>
      <c r="D28" s="57">
        <f>D27</f>
        <v>312.5</v>
      </c>
      <c r="E28" s="57">
        <f>D28+E27</f>
        <v>940.4652477920572</v>
      </c>
      <c r="F28" s="57">
        <f t="shared" ref="F28:AA28" si="5">E28+F27</f>
        <v>1886.8891277905273</v>
      </c>
      <c r="G28" s="57">
        <f t="shared" si="5"/>
        <v>3154.7934280146474</v>
      </c>
      <c r="H28" s="57">
        <f t="shared" si="5"/>
        <v>4747.2286096044618</v>
      </c>
      <c r="I28" s="57">
        <f t="shared" si="5"/>
        <v>6667.2740788941273</v>
      </c>
      <c r="J28" s="57">
        <f t="shared" si="5"/>
        <v>8918.0384620668665</v>
      </c>
      <c r="K28" s="57">
        <f t="shared" si="5"/>
        <v>11502.659882416066</v>
      </c>
      <c r="L28" s="57">
        <f t="shared" si="5"/>
        <v>14424.306240237249</v>
      </c>
      <c r="M28" s="57">
        <f t="shared" si="5"/>
        <v>17686.175495375875</v>
      </c>
      <c r="N28" s="57">
        <f t="shared" si="5"/>
        <v>21291.495952456193</v>
      </c>
      <c r="O28" s="57">
        <f t="shared" si="5"/>
        <v>25243.526548816564</v>
      </c>
      <c r="P28" s="57">
        <f t="shared" si="5"/>
        <v>29545.557145176936</v>
      </c>
      <c r="Q28" s="57">
        <f t="shared" si="5"/>
        <v>34200.908819064411</v>
      </c>
      <c r="R28" s="57">
        <f t="shared" si="5"/>
        <v>39212.934161023069</v>
      </c>
      <c r="S28" s="57">
        <f t="shared" si="5"/>
        <v>44585.017573634454</v>
      </c>
      <c r="T28" s="57">
        <f t="shared" si="5"/>
        <v>50320.575573375419</v>
      </c>
      <c r="U28" s="57">
        <f t="shared" si="5"/>
        <v>56423.05709534022</v>
      </c>
      <c r="V28" s="57">
        <f t="shared" si="5"/>
        <v>62895.94380085406</v>
      </c>
      <c r="W28" s="57">
        <f t="shared" si="5"/>
        <v>69742.75038800553</v>
      </c>
      <c r="X28" s="57">
        <f t="shared" si="5"/>
        <v>76967.024905125625</v>
      </c>
      <c r="Y28" s="57">
        <f t="shared" si="5"/>
        <v>84572.349067241259</v>
      </c>
      <c r="Z28" s="57">
        <f t="shared" si="5"/>
        <v>92562.338575531583</v>
      </c>
      <c r="AA28" s="57">
        <f t="shared" si="5"/>
        <v>100940.64343981557</v>
      </c>
      <c r="AB28" s="68">
        <f>AA28+AB27</f>
        <v>255537.73348566156</v>
      </c>
    </row>
    <row r="29" spans="1:28" x14ac:dyDescent="0.3">
      <c r="B29" s="51" t="s">
        <v>156</v>
      </c>
      <c r="D29" s="70">
        <f>D26-D28</f>
        <v>14687.5</v>
      </c>
      <c r="E29" s="70">
        <f>E26-E28</f>
        <v>29201.866646226688</v>
      </c>
      <c r="F29" s="70">
        <f t="shared" ref="F29:AA29" si="6">F26-F28</f>
        <v>43541.457112136042</v>
      </c>
      <c r="G29" s="70">
        <f t="shared" si="6"/>
        <v>57704.612982743129</v>
      </c>
      <c r="H29" s="70">
        <f t="shared" si="6"/>
        <v>71689.660106706637</v>
      </c>
      <c r="I29" s="70">
        <f t="shared" si="6"/>
        <v>85494.908447009802</v>
      </c>
      <c r="J29" s="70">
        <f t="shared" si="6"/>
        <v>99118.651930224631</v>
      </c>
      <c r="K29" s="70">
        <f t="shared" si="6"/>
        <v>112559.16829434555</v>
      </c>
      <c r="L29" s="70">
        <f t="shared" si="6"/>
        <v>125814.71893517948</v>
      </c>
      <c r="M29" s="70">
        <f t="shared" si="6"/>
        <v>138883.54875127814</v>
      </c>
      <c r="N29" s="70">
        <f t="shared" si="6"/>
        <v>151763.88598739909</v>
      </c>
      <c r="O29" s="70">
        <f t="shared" si="6"/>
        <v>164453.94207648121</v>
      </c>
      <c r="P29" s="70">
        <f t="shared" si="6"/>
        <v>176951.91148012085</v>
      </c>
      <c r="Q29" s="70">
        <f t="shared" si="6"/>
        <v>189255.97152753436</v>
      </c>
      <c r="R29" s="70">
        <f t="shared" si="6"/>
        <v>201364.2822529925</v>
      </c>
      <c r="S29" s="70">
        <f t="shared" si="6"/>
        <v>213274.98623171207</v>
      </c>
      <c r="T29" s="70">
        <f t="shared" si="6"/>
        <v>224986.20841419083</v>
      </c>
      <c r="U29" s="70">
        <f t="shared" si="6"/>
        <v>236496.05595897004</v>
      </c>
      <c r="V29" s="70">
        <f t="shared" si="6"/>
        <v>247802.61806381025</v>
      </c>
      <c r="W29" s="70">
        <f t="shared" si="6"/>
        <v>258903.96579526534</v>
      </c>
      <c r="X29" s="70">
        <f t="shared" si="6"/>
        <v>269798.15191663901</v>
      </c>
      <c r="Y29" s="70">
        <f t="shared" si="6"/>
        <v>280483.21071430919</v>
      </c>
      <c r="Z29" s="70">
        <f t="shared" si="6"/>
        <v>290957.15782240429</v>
      </c>
      <c r="AA29" s="70">
        <f t="shared" si="6"/>
        <v>301217.99004581588</v>
      </c>
      <c r="AB29" s="68">
        <f>AB26-AB28</f>
        <v>384577.40464354481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E739-8AAF-4E59-863B-0E4B465E7AB5}">
  <dimension ref="A2:AC39"/>
  <sheetViews>
    <sheetView showGridLines="0" topLeftCell="A15" workbookViewId="0">
      <selection activeCell="B28" sqref="B28:AB28"/>
    </sheetView>
  </sheetViews>
  <sheetFormatPr defaultRowHeight="15.6" x14ac:dyDescent="0.3"/>
  <cols>
    <col min="1" max="1" width="3.19921875" customWidth="1"/>
    <col min="2" max="2" width="50" bestFit="1" customWidth="1"/>
    <col min="3" max="3" width="13.8984375" bestFit="1" customWidth="1"/>
    <col min="4" max="20" width="12.3984375" bestFit="1" customWidth="1"/>
    <col min="21" max="27" width="13.5" bestFit="1" customWidth="1"/>
    <col min="28" max="28" width="14.59765625" bestFit="1" customWidth="1"/>
  </cols>
  <sheetData>
    <row r="2" spans="1:29" ht="17.399999999999999" x14ac:dyDescent="0.3">
      <c r="A2" s="47" t="s">
        <v>157</v>
      </c>
    </row>
    <row r="4" spans="1:29" x14ac:dyDescent="0.3">
      <c r="D4" s="52">
        <v>2027</v>
      </c>
      <c r="P4" s="52">
        <v>2028</v>
      </c>
    </row>
    <row r="5" spans="1:29" x14ac:dyDescent="0.3">
      <c r="C5" s="58" t="s">
        <v>135</v>
      </c>
      <c r="D5" s="59">
        <v>1</v>
      </c>
      <c r="E5" s="60">
        <v>2</v>
      </c>
      <c r="F5" s="60">
        <v>3</v>
      </c>
      <c r="G5" s="60">
        <f>F5+1</f>
        <v>4</v>
      </c>
      <c r="H5" s="60">
        <f t="shared" ref="H5:AA5" si="0">G5+1</f>
        <v>5</v>
      </c>
      <c r="I5" s="60">
        <f t="shared" si="0"/>
        <v>6</v>
      </c>
      <c r="J5" s="60">
        <f t="shared" si="0"/>
        <v>7</v>
      </c>
      <c r="K5" s="60">
        <f t="shared" si="0"/>
        <v>8</v>
      </c>
      <c r="L5" s="60">
        <f t="shared" si="0"/>
        <v>9</v>
      </c>
      <c r="M5" s="60">
        <f t="shared" si="0"/>
        <v>10</v>
      </c>
      <c r="N5" s="60">
        <f t="shared" si="0"/>
        <v>11</v>
      </c>
      <c r="O5" s="60">
        <f t="shared" si="0"/>
        <v>12</v>
      </c>
      <c r="P5" s="60">
        <f t="shared" si="0"/>
        <v>13</v>
      </c>
      <c r="Q5" s="60">
        <f t="shared" si="0"/>
        <v>14</v>
      </c>
      <c r="R5" s="60">
        <f t="shared" si="0"/>
        <v>15</v>
      </c>
      <c r="S5" s="60">
        <f t="shared" si="0"/>
        <v>16</v>
      </c>
      <c r="T5" s="60">
        <f t="shared" si="0"/>
        <v>17</v>
      </c>
      <c r="U5" s="60">
        <f t="shared" si="0"/>
        <v>18</v>
      </c>
      <c r="V5" s="60">
        <f t="shared" si="0"/>
        <v>19</v>
      </c>
      <c r="W5" s="60">
        <f t="shared" si="0"/>
        <v>20</v>
      </c>
      <c r="X5" s="60">
        <f t="shared" si="0"/>
        <v>21</v>
      </c>
      <c r="Y5" s="60">
        <f t="shared" si="0"/>
        <v>22</v>
      </c>
      <c r="Z5" s="60">
        <f t="shared" si="0"/>
        <v>23</v>
      </c>
      <c r="AA5" s="60">
        <f t="shared" si="0"/>
        <v>24</v>
      </c>
      <c r="AB5" s="60" t="s">
        <v>134</v>
      </c>
      <c r="AC5" s="61"/>
    </row>
    <row r="7" spans="1:29" x14ac:dyDescent="0.3">
      <c r="B7" s="51" t="s">
        <v>158</v>
      </c>
      <c r="D7" s="75">
        <f>'CUSTOMER ACQUISITION &amp; REVENUE'!D34</f>
        <v>110200</v>
      </c>
      <c r="E7" s="69">
        <f>'CUSTOMER ACQUISITION &amp; REVENUE'!E34</f>
        <v>116280.46876247364</v>
      </c>
      <c r="F7" s="69">
        <f>'CUSTOMER ACQUISITION &amp; REVENUE'!F34</f>
        <v>122680.56271096831</v>
      </c>
      <c r="G7" s="69">
        <f>'CUSTOMER ACQUISITION &amp; REVENUE'!G34</f>
        <v>129416.65406663372</v>
      </c>
      <c r="H7" s="69">
        <f>'CUSTOMER ACQUISITION &amp; REVENUE'!H34</f>
        <v>136505.94184142718</v>
      </c>
      <c r="I7" s="69">
        <f>'CUSTOMER ACQUISITION &amp; REVENUE'!I34</f>
        <v>143966.49326642751</v>
      </c>
      <c r="J7" s="69">
        <f>'CUSTOMER ACQUISITION &amp; REVENUE'!J34</f>
        <v>151817.28728735296</v>
      </c>
      <c r="K7" s="69">
        <f>'CUSTOMER ACQUISITION &amp; REVENUE'!K34</f>
        <v>160078.26023020761</v>
      </c>
      <c r="L7" s="69">
        <f>'CUSTOMER ACQUISITION &amp; REVENUE'!L34</f>
        <v>168770.35374509983</v>
      </c>
      <c r="M7" s="69">
        <f>'CUSTOMER ACQUISITION &amp; REVENUE'!M34</f>
        <v>177915.5651416496</v>
      </c>
      <c r="N7" s="69">
        <f>'CUSTOMER ACQUISITION &amp; REVENUE'!N34</f>
        <v>187537.00023504111</v>
      </c>
      <c r="O7" s="69">
        <f>'CUSTOMER ACQUISITION &amp; REVENUE'!O34</f>
        <v>197658.9288276977</v>
      </c>
      <c r="P7" s="69">
        <f>'CUSTOMER ACQUISITION &amp; REVENUE'!P34</f>
        <v>208306.84295777077</v>
      </c>
      <c r="Q7" s="69">
        <f>'CUSTOMER ACQUISITION &amp; REVENUE'!Q34</f>
        <v>219507.51805215768</v>
      </c>
      <c r="R7" s="69">
        <f>'CUSTOMER ACQUISITION &amp; REVENUE'!R34</f>
        <v>231289.07712861081</v>
      </c>
      <c r="S7" s="69">
        <f>'CUSTOMER ACQUISITION &amp; REVENUE'!S34</f>
        <v>243681.05819868893</v>
      </c>
      <c r="T7" s="69">
        <f>'CUSTOMER ACQUISITION &amp; REVENUE'!T34</f>
        <v>256714.48503084513</v>
      </c>
      <c r="U7" s="69">
        <f>'CUSTOMER ACQUISITION &amp; REVENUE'!U34</f>
        <v>270421.94144086743</v>
      </c>
      <c r="V7" s="69">
        <f>'CUSTOMER ACQUISITION &amp; REVENUE'!V34</f>
        <v>284837.64928519982</v>
      </c>
      <c r="W7" s="69">
        <f>'CUSTOMER ACQUISITION &amp; REVENUE'!W34</f>
        <v>299997.55034139933</v>
      </c>
      <c r="X7" s="69">
        <f>'CUSTOMER ACQUISITION &amp; REVENUE'!X34</f>
        <v>315939.39226914343</v>
      </c>
      <c r="Y7" s="69">
        <f>'CUSTOMER ACQUISITION &amp; REVENUE'!Y34</f>
        <v>332702.81885481841</v>
      </c>
      <c r="Z7" s="69">
        <f>'CUSTOMER ACQUISITION &amp; REVENUE'!Z34</f>
        <v>350329.46475281072</v>
      </c>
      <c r="AA7" s="69">
        <f>'CUSTOMER ACQUISITION &amp; REVENUE'!AA34</f>
        <v>368863.05494721862</v>
      </c>
      <c r="AB7" s="69">
        <f>'CUSTOMER ACQUISITION &amp; REVENUE'!AB34</f>
        <v>6306407.3418555027</v>
      </c>
    </row>
    <row r="8" spans="1:29" x14ac:dyDescent="0.3">
      <c r="B8" t="s">
        <v>159</v>
      </c>
      <c r="D8" s="56">
        <f>-('CUSTOMER ACQUISITION &amp; REVENUE'!D21*ASSUMPTIONS!$C$40+ASSUMPTIONS!$C$41*'CUSTOMER ACQUISITION &amp; REVENUE'!D28)</f>
        <v>-42746</v>
      </c>
      <c r="E8" s="56">
        <f>-('CUSTOMER ACQUISITION &amp; REVENUE'!E21*ASSUMPTIONS!$C$40+ASSUMPTIONS!$C$41*'CUSTOMER ACQUISITION &amp; REVENUE'!E28)</f>
        <v>-45005.14033400637</v>
      </c>
      <c r="F8" s="56">
        <f>-('CUSTOMER ACQUISITION &amp; REVENUE'!F21*ASSUMPTIONS!$C$40+ASSUMPTIONS!$C$41*'CUSTOMER ACQUISITION &amp; REVENUE'!F28)</f>
        <v>-47377.245761802602</v>
      </c>
      <c r="G8" s="56">
        <f>-('CUSTOMER ACQUISITION &amp; REVENUE'!G21*ASSUMPTIONS!$C$40+ASSUMPTIONS!$C$41*'CUSTOMER ACQUISITION &amp; REVENUE'!G28)</f>
        <v>-49867.806527437373</v>
      </c>
      <c r="H8" s="56">
        <f>-('CUSTOMER ACQUISITION &amp; REVENUE'!H21*ASSUMPTIONS!$C$40+ASSUMPTIONS!$C$41*'CUSTOMER ACQUISITION &amp; REVENUE'!H28)</f>
        <v>-52482.575708266311</v>
      </c>
      <c r="I8" s="56">
        <f>-('CUSTOMER ACQUISITION &amp; REVENUE'!I21*ASSUMPTIONS!$C$40+ASSUMPTIONS!$C$41*'CUSTOMER ACQUISITION &amp; REVENUE'!I28)</f>
        <v>-55227.58169751439</v>
      </c>
      <c r="J8" s="56">
        <f>-('CUSTOMER ACQUISITION &amp; REVENUE'!J21*ASSUMPTIONS!$C$40+ASSUMPTIONS!$C$41*'CUSTOMER ACQUISITION &amp; REVENUE'!J28)</f>
        <v>-58109.141277230221</v>
      </c>
      <c r="K8" s="56">
        <f>-('CUSTOMER ACQUISITION &amp; REVENUE'!K21*ASSUMPTIONS!$C$40+ASSUMPTIONS!$C$41*'CUSTOMER ACQUISITION &amp; REVENUE'!K28)</f>
        <v>-61133.873309498384</v>
      </c>
      <c r="L8" s="56">
        <f>-('CUSTOMER ACQUISITION &amp; REVENUE'!L21*ASSUMPTIONS!$C$40+ASSUMPTIONS!$C$41*'CUSTOMER ACQUISITION &amp; REVENUE'!L28)</f>
        <v>-64308.713075089407</v>
      </c>
      <c r="M8" s="56">
        <f>-('CUSTOMER ACQUISITION &amp; REVENUE'!M21*ASSUMPTIONS!$C$40+ASSUMPTIONS!$C$41*'CUSTOMER ACQUISITION &amp; REVENUE'!M28)</f>
        <v>-67640.927290103369</v>
      </c>
      <c r="N8" s="56">
        <f>-('CUSTOMER ACQUISITION &amp; REVENUE'!N21*ASSUMPTIONS!$C$40+ASSUMPTIONS!$C$41*'CUSTOMER ACQUISITION &amp; REVENUE'!N28)</f>
        <v>-71138.129832602805</v>
      </c>
      <c r="O8" s="56">
        <f>-('CUSTOMER ACQUISITION &amp; REVENUE'!O21*ASSUMPTIONS!$C$40+ASSUMPTIONS!$C$41*'CUSTOMER ACQUISITION &amp; REVENUE'!O28)</f>
        <v>-74808.298212739668</v>
      </c>
      <c r="P8" s="56">
        <f>-('CUSTOMER ACQUISITION &amp; REVENUE'!P21*ASSUMPTIONS!$C$40+ASSUMPTIONS!$C$41*'CUSTOMER ACQUISITION &amp; REVENUE'!P28)</f>
        <v>-78659.790821460425</v>
      </c>
      <c r="Q8" s="56">
        <f>-('CUSTOMER ACQUISITION &amp; REVENUE'!Q21*ASSUMPTIONS!$C$40+ASSUMPTIONS!$C$41*'CUSTOMER ACQUISITION &amp; REVENUE'!Q28)</f>
        <v>-82701.364994526841</v>
      </c>
      <c r="R8" s="56">
        <f>-('CUSTOMER ACQUISITION &amp; REVENUE'!R21*ASSUMPTIONS!$C$40+ASSUMPTIONS!$C$41*'CUSTOMER ACQUISITION &amp; REVENUE'!R28)</f>
        <v>-86942.19593032237</v>
      </c>
      <c r="S8" s="56">
        <f>-('CUSTOMER ACQUISITION &amp; REVENUE'!S21*ASSUMPTIONS!$C$40+ASSUMPTIONS!$C$41*'CUSTOMER ACQUISITION &amp; REVENUE'!S28)</f>
        <v>-91391.89650172714</v>
      </c>
      <c r="T8" s="56">
        <f>-('CUSTOMER ACQUISITION &amp; REVENUE'!T21*ASSUMPTIONS!$C$40+ASSUMPTIONS!$C$41*'CUSTOMER ACQUISITION &amp; REVENUE'!T28)</f>
        <v>-96060.538004242946</v>
      </c>
      <c r="U8" s="56">
        <f>-('CUSTOMER ACQUISITION &amp; REVENUE'!U21*ASSUMPTIONS!$C$40+ASSUMPTIONS!$C$41*'CUSTOMER ACQUISITION &amp; REVENUE'!U28)</f>
        <v>-100958.67188453901</v>
      </c>
      <c r="V8" s="56">
        <f>-('CUSTOMER ACQUISITION &amp; REVENUE'!V21*ASSUMPTIONS!$C$40+ASSUMPTIONS!$C$41*'CUSTOMER ACQUISITION &amp; REVENUE'!V28)</f>
        <v>-106097.35249566953</v>
      </c>
      <c r="W8" s="56">
        <f>-('CUSTOMER ACQUISITION &amp; REVENUE'!W21*ASSUMPTIONS!$C$40+ASSUMPTIONS!$C$41*'CUSTOMER ACQUISITION &amp; REVENUE'!W28)</f>
        <v>-111488.16092739553</v>
      </c>
      <c r="X8" s="56">
        <f>-('CUSTOMER ACQUISITION &amp; REVENUE'!X21*ASSUMPTIONS!$C$40+ASSUMPTIONS!$C$41*'CUSTOMER ACQUISITION &amp; REVENUE'!X28)</f>
        <v>-117143.22996232506</v>
      </c>
      <c r="Y8" s="56">
        <f>-('CUSTOMER ACQUISITION &amp; REVENUE'!Y21*ASSUMPTIONS!$C$40+ASSUMPTIONS!$C$41*'CUSTOMER ACQUISITION &amp; REVENUE'!Y28)</f>
        <v>-123075.27021097642</v>
      </c>
      <c r="Z8" s="56">
        <f>-('CUSTOMER ACQUISITION &amp; REVENUE'!Z21*ASSUMPTIONS!$C$40+ASSUMPTIONS!$C$41*'CUSTOMER ACQUISITION &amp; REVENUE'!Z28)</f>
        <v>-129297.5974813716</v>
      </c>
      <c r="AA8" s="56">
        <f>-('CUSTOMER ACQUISITION &amp; REVENUE'!AA21*ASSUMPTIONS!$C$40+ASSUMPTIONS!$C$41*'CUSTOMER ACQUISITION &amp; REVENUE'!AA28)</f>
        <v>-135824.16144138767</v>
      </c>
      <c r="AB8" s="81">
        <f>IFERROR(AA8*(1+((AA8/O8)^(1/12)-1))*(((1+((AA8/O8)^(1/12)-1))^12-1)/((AA8/O8)^(1/12)-1)),AA8*12)</f>
        <v>-2284747.4865295775</v>
      </c>
    </row>
    <row r="10" spans="1:29" x14ac:dyDescent="0.3">
      <c r="B10" s="51" t="s">
        <v>160</v>
      </c>
      <c r="D10" s="76">
        <f>SUM(D7:D8)</f>
        <v>67454</v>
      </c>
      <c r="E10" s="76">
        <f t="shared" ref="E10:AB10" si="1">SUM(E7:E8)</f>
        <v>71275.32842846727</v>
      </c>
      <c r="F10" s="76">
        <f t="shared" si="1"/>
        <v>75303.316949165717</v>
      </c>
      <c r="G10" s="76">
        <f t="shared" si="1"/>
        <v>79548.847539196344</v>
      </c>
      <c r="H10" s="76">
        <f t="shared" si="1"/>
        <v>84023.36613316086</v>
      </c>
      <c r="I10" s="76">
        <f t="shared" si="1"/>
        <v>88738.911568913114</v>
      </c>
      <c r="J10" s="76">
        <f t="shared" si="1"/>
        <v>93708.146010122728</v>
      </c>
      <c r="K10" s="76">
        <f t="shared" si="1"/>
        <v>98944.386920709221</v>
      </c>
      <c r="L10" s="76">
        <f t="shared" si="1"/>
        <v>104461.64067001041</v>
      </c>
      <c r="M10" s="76">
        <f t="shared" si="1"/>
        <v>110274.63785154623</v>
      </c>
      <c r="N10" s="76">
        <f t="shared" si="1"/>
        <v>116398.8704024383</v>
      </c>
      <c r="O10" s="76">
        <f t="shared" si="1"/>
        <v>122850.63061495803</v>
      </c>
      <c r="P10" s="76">
        <f t="shared" si="1"/>
        <v>129647.05213631035</v>
      </c>
      <c r="Q10" s="76">
        <f t="shared" si="1"/>
        <v>136806.15305763084</v>
      </c>
      <c r="R10" s="76">
        <f t="shared" si="1"/>
        <v>144346.88119828844</v>
      </c>
      <c r="S10" s="76">
        <f t="shared" si="1"/>
        <v>152289.16169696179</v>
      </c>
      <c r="T10" s="76">
        <f t="shared" si="1"/>
        <v>160653.94702660217</v>
      </c>
      <c r="U10" s="76">
        <f t="shared" si="1"/>
        <v>169463.26955632842</v>
      </c>
      <c r="V10" s="76">
        <f t="shared" si="1"/>
        <v>178740.29678953029</v>
      </c>
      <c r="W10" s="76">
        <f t="shared" si="1"/>
        <v>188509.38941400382</v>
      </c>
      <c r="X10" s="76">
        <f t="shared" si="1"/>
        <v>198796.16230681835</v>
      </c>
      <c r="Y10" s="76">
        <f t="shared" si="1"/>
        <v>209627.54864384199</v>
      </c>
      <c r="Z10" s="76">
        <f t="shared" si="1"/>
        <v>221031.86727143911</v>
      </c>
      <c r="AA10" s="76">
        <f t="shared" si="1"/>
        <v>233038.89350583096</v>
      </c>
      <c r="AB10" s="76">
        <f t="shared" si="1"/>
        <v>4021659.8553259252</v>
      </c>
    </row>
    <row r="11" spans="1:29" x14ac:dyDescent="0.3">
      <c r="B11" t="s">
        <v>161</v>
      </c>
      <c r="D11" s="54">
        <f>IFERROR(D10/D7,0)</f>
        <v>0.61210526315789471</v>
      </c>
      <c r="E11" s="54">
        <f t="shared" ref="E11:AB11" si="2">IFERROR(E10/E7,0)</f>
        <v>0.61296044973865327</v>
      </c>
      <c r="F11" s="54">
        <f t="shared" si="2"/>
        <v>0.61381620107643331</v>
      </c>
      <c r="G11" s="54">
        <f t="shared" si="2"/>
        <v>0.6146724168764125</v>
      </c>
      <c r="H11" s="54">
        <f t="shared" si="2"/>
        <v>0.61552900188599136</v>
      </c>
      <c r="I11" s="54">
        <f t="shared" si="2"/>
        <v>0.61638586559645492</v>
      </c>
      <c r="J11" s="54">
        <f t="shared" si="2"/>
        <v>0.61724292196550812</v>
      </c>
      <c r="K11" s="54">
        <f t="shared" si="2"/>
        <v>0.61810008915900183</v>
      </c>
      <c r="L11" s="54">
        <f t="shared" si="2"/>
        <v>0.61895728931031768</v>
      </c>
      <c r="M11" s="54">
        <f t="shared" si="2"/>
        <v>0.61981444829602039</v>
      </c>
      <c r="N11" s="54">
        <f t="shared" si="2"/>
        <v>0.62067149552650935</v>
      </c>
      <c r="O11" s="54">
        <f t="shared" si="2"/>
        <v>0.6215283637505129</v>
      </c>
      <c r="P11" s="54">
        <f t="shared" si="2"/>
        <v>0.62238498887236837</v>
      </c>
      <c r="Q11" s="54">
        <f t="shared" si="2"/>
        <v>0.62324130978112569</v>
      </c>
      <c r="R11" s="54">
        <f t="shared" si="2"/>
        <v>0.62409726819058897</v>
      </c>
      <c r="S11" s="54">
        <f t="shared" si="2"/>
        <v>0.6249528084894912</v>
      </c>
      <c r="T11" s="54">
        <f t="shared" si="2"/>
        <v>0.6258078776010596</v>
      </c>
      <c r="U11" s="54">
        <f t="shared" si="2"/>
        <v>0.62666242485129331</v>
      </c>
      <c r="V11" s="54">
        <f t="shared" si="2"/>
        <v>0.62751640184532886</v>
      </c>
      <c r="W11" s="54">
        <f t="shared" si="2"/>
        <v>0.62836976235132191</v>
      </c>
      <c r="X11" s="54">
        <f t="shared" si="2"/>
        <v>0.62922246219131572</v>
      </c>
      <c r="Y11" s="54">
        <f t="shared" si="2"/>
        <v>0.63007445913861404</v>
      </c>
      <c r="Z11" s="54">
        <f t="shared" si="2"/>
        <v>0.63092571282120724</v>
      </c>
      <c r="AA11" s="54">
        <f t="shared" si="2"/>
        <v>0.63177618463084351</v>
      </c>
      <c r="AB11" s="54">
        <f t="shared" si="2"/>
        <v>0.637710131509306</v>
      </c>
    </row>
    <row r="14" spans="1:29" s="48" customFormat="1" x14ac:dyDescent="0.3">
      <c r="A14"/>
      <c r="B14" s="77" t="s">
        <v>162</v>
      </c>
    </row>
    <row r="15" spans="1:29" x14ac:dyDescent="0.3">
      <c r="B15" s="6" t="s">
        <v>163</v>
      </c>
      <c r="D15" s="56">
        <f>'CUSTOMER ACQUISITION &amp; REVENUE'!D9*ASSUMPTIONS!$C$52*ASSUMPTIONS!$F$15</f>
        <v>1050</v>
      </c>
      <c r="E15" s="56">
        <f>'CUSTOMER ACQUISITION &amp; REVENUE'!E9*ASSUMPTIONS!$C$52*ASSUMPTIONS!$F$15</f>
        <v>1086.0843872885123</v>
      </c>
      <c r="F15" s="56">
        <f>'CUSTOMER ACQUISITION &amp; REVENUE'!F9*ASSUMPTIONS!$C$52*ASSUMPTIONS!$F$15</f>
        <v>1123.4088536303461</v>
      </c>
      <c r="G15" s="56">
        <f>'CUSTOMER ACQUISITION &amp; REVENUE'!G9*ASSUMPTIONS!$C$52*ASSUMPTIONS!$F$15</f>
        <v>1162.0160156853376</v>
      </c>
      <c r="H15" s="56">
        <f>'CUSTOMER ACQUISITION &amp; REVENUE'!H9*ASSUMPTIONS!$C$52*ASSUMPTIONS!$F$15</f>
        <v>1201.9499546809984</v>
      </c>
      <c r="I15" s="56">
        <f>'CUSTOMER ACQUISITION &amp; REVENUE'!I9*ASSUMPTIONS!$C$52*ASSUMPTIONS!$F$15</f>
        <v>1243.256266743969</v>
      </c>
      <c r="J15" s="56">
        <f>'CUSTOMER ACQUISITION &amp; REVENUE'!J9*ASSUMPTIONS!$C$52*ASSUMPTIONS!$F$15</f>
        <v>1285.9821149611685</v>
      </c>
      <c r="K15" s="56">
        <f>'CUSTOMER ACQUISITION &amp; REVENUE'!K9*ASSUMPTIONS!$C$52*ASSUMPTIONS!$F$15</f>
        <v>1330.1762832300819</v>
      </c>
      <c r="L15" s="56">
        <f>'CUSTOMER ACQUISITION &amp; REVENUE'!L9*ASSUMPTIONS!$C$52*ASSUMPTIONS!$F$15</f>
        <v>1375.8892319596707</v>
      </c>
      <c r="M15" s="56">
        <f>'CUSTOMER ACQUISITION &amp; REVENUE'!M9*ASSUMPTIONS!$C$52*ASSUMPTIONS!$F$15</f>
        <v>1423.1731556855057</v>
      </c>
      <c r="N15" s="56">
        <f>'CUSTOMER ACQUISITION &amp; REVENUE'!N9*ASSUMPTIONS!$C$52*ASSUMPTIONS!$F$15</f>
        <v>1472.0820426649057</v>
      </c>
      <c r="O15" s="56">
        <f>'CUSTOMER ACQUISITION &amp; REVENUE'!O9*ASSUMPTIONS!$C$52*ASSUMPTIONS!$F$15</f>
        <v>1522.6717365201296</v>
      </c>
      <c r="P15" s="56">
        <f>'CUSTOMER ACQUISITION &amp; REVENUE'!P9*ASSUMPTIONS!$C$52*ASSUMPTIONS!$F$15</f>
        <v>1575.0000000000002</v>
      </c>
      <c r="Q15" s="56">
        <f>'CUSTOMER ACQUISITION &amp; REVENUE'!Q9*ASSUMPTIONS!$C$52*ASSUMPTIONS!$F$15</f>
        <v>1629.1265809327688</v>
      </c>
      <c r="R15" s="56">
        <f>'CUSTOMER ACQUISITION &amp; REVENUE'!R9*ASSUMPTIONS!$C$52*ASSUMPTIONS!$F$15</f>
        <v>1685.1132804455194</v>
      </c>
      <c r="S15" s="56">
        <f>'CUSTOMER ACQUISITION &amp; REVENUE'!S9*ASSUMPTIONS!$C$52*ASSUMPTIONS!$F$15</f>
        <v>1743.0240235280066</v>
      </c>
      <c r="T15" s="56">
        <f>'CUSTOMER ACQUISITION &amp; REVENUE'!T9*ASSUMPTIONS!$C$52*ASSUMPTIONS!$F$15</f>
        <v>1802.9249320214981</v>
      </c>
      <c r="U15" s="56">
        <f>'CUSTOMER ACQUISITION &amp; REVENUE'!U9*ASSUMPTIONS!$C$52*ASSUMPTIONS!$F$15</f>
        <v>1864.8844001159539</v>
      </c>
      <c r="V15" s="56">
        <f>'CUSTOMER ACQUISITION &amp; REVENUE'!V9*ASSUMPTIONS!$C$52*ASSUMPTIONS!$F$15</f>
        <v>1928.9731724417531</v>
      </c>
      <c r="W15" s="56">
        <f>'CUSTOMER ACQUISITION &amp; REVENUE'!W9*ASSUMPTIONS!$C$52*ASSUMPTIONS!$F$15</f>
        <v>1995.2644248451234</v>
      </c>
      <c r="X15" s="56">
        <f>'CUSTOMER ACQUISITION &amp; REVENUE'!X9*ASSUMPTIONS!$C$52*ASSUMPTIONS!$F$15</f>
        <v>2063.8338479395065</v>
      </c>
      <c r="Y15" s="56">
        <f>'CUSTOMER ACQUISITION &amp; REVENUE'!Y9*ASSUMPTIONS!$C$52*ASSUMPTIONS!$F$15</f>
        <v>2134.7597335282589</v>
      </c>
      <c r="Z15" s="56">
        <f>'CUSTOMER ACQUISITION &amp; REVENUE'!Z9*ASSUMPTIONS!$C$52*ASSUMPTIONS!$F$15</f>
        <v>2208.1230639973592</v>
      </c>
      <c r="AA15" s="56">
        <f>'CUSTOMER ACQUISITION &amp; REVENUE'!AA9*ASSUMPTIONS!$C$52*ASSUMPTIONS!$F$15</f>
        <v>2284.0076047801949</v>
      </c>
      <c r="AB15" s="80">
        <f>IFERROR(AA15*(1+((AA15/O15)^(1/12)-1))*(((1+((AA15/O15)^(1/12)-1))^12-1)/((AA15/O15)^(1/12)-1)),AA15*12)</f>
        <v>34372.552596863978</v>
      </c>
    </row>
    <row r="16" spans="1:29" x14ac:dyDescent="0.3">
      <c r="B16" s="6" t="s">
        <v>164</v>
      </c>
      <c r="D16" s="78">
        <f>ASSUMPTIONS!$C$53*ASSUMPTIONS!$F$15</f>
        <v>2500</v>
      </c>
      <c r="E16" s="78">
        <f>ASSUMPTIONS!$C$53*ASSUMPTIONS!$F$15</f>
        <v>2500</v>
      </c>
      <c r="F16" s="78">
        <f>ASSUMPTIONS!$C$53*ASSUMPTIONS!$F$15</f>
        <v>2500</v>
      </c>
      <c r="G16" s="78">
        <f>ASSUMPTIONS!$C$53*ASSUMPTIONS!$F$15</f>
        <v>2500</v>
      </c>
      <c r="H16" s="78">
        <f>ASSUMPTIONS!$C$53*ASSUMPTIONS!$F$15</f>
        <v>2500</v>
      </c>
      <c r="I16" s="78">
        <f>ASSUMPTIONS!$C$53*ASSUMPTIONS!$F$15</f>
        <v>2500</v>
      </c>
      <c r="J16" s="78">
        <f>ASSUMPTIONS!$C$53*ASSUMPTIONS!$F$15</f>
        <v>2500</v>
      </c>
      <c r="K16" s="78">
        <f>ASSUMPTIONS!$C$53*ASSUMPTIONS!$F$15</f>
        <v>2500</v>
      </c>
      <c r="L16" s="78">
        <f>ASSUMPTIONS!$C$53*ASSUMPTIONS!$F$15</f>
        <v>2500</v>
      </c>
      <c r="M16" s="78">
        <f>ASSUMPTIONS!$C$53*ASSUMPTIONS!$F$15</f>
        <v>2500</v>
      </c>
      <c r="N16" s="78">
        <f>ASSUMPTIONS!$C$53*ASSUMPTIONS!$F$15</f>
        <v>2500</v>
      </c>
      <c r="O16" s="78">
        <f>ASSUMPTIONS!$C$53*ASSUMPTIONS!$F$15</f>
        <v>2500</v>
      </c>
      <c r="P16" s="78">
        <f>ASSUMPTIONS!$C$53*ASSUMPTIONS!$F$15</f>
        <v>2500</v>
      </c>
      <c r="Q16" s="78">
        <f>ASSUMPTIONS!$C$53*ASSUMPTIONS!$F$15</f>
        <v>2500</v>
      </c>
      <c r="R16" s="78">
        <f>ASSUMPTIONS!$C$53*ASSUMPTIONS!$F$15</f>
        <v>2500</v>
      </c>
      <c r="S16" s="78">
        <f>ASSUMPTIONS!$C$53*ASSUMPTIONS!$F$15</f>
        <v>2500</v>
      </c>
      <c r="T16" s="78">
        <f>ASSUMPTIONS!$C$53*ASSUMPTIONS!$F$15</f>
        <v>2500</v>
      </c>
      <c r="U16" s="78">
        <f>ASSUMPTIONS!$C$53*ASSUMPTIONS!$F$15</f>
        <v>2500</v>
      </c>
      <c r="V16" s="78">
        <f>ASSUMPTIONS!$C$53*ASSUMPTIONS!$F$15</f>
        <v>2500</v>
      </c>
      <c r="W16" s="78">
        <f>ASSUMPTIONS!$C$53*ASSUMPTIONS!$F$15</f>
        <v>2500</v>
      </c>
      <c r="X16" s="78">
        <f>ASSUMPTIONS!$C$53*ASSUMPTIONS!$F$15</f>
        <v>2500</v>
      </c>
      <c r="Y16" s="78">
        <f>ASSUMPTIONS!$C$53*ASSUMPTIONS!$F$15</f>
        <v>2500</v>
      </c>
      <c r="Z16" s="78">
        <f>ASSUMPTIONS!$C$53*ASSUMPTIONS!$F$15</f>
        <v>2500</v>
      </c>
      <c r="AA16" s="78">
        <f>ASSUMPTIONS!$C$53*ASSUMPTIONS!$F$15</f>
        <v>2500</v>
      </c>
      <c r="AB16" s="81">
        <f t="shared" ref="AB16:AB17" si="3">IFERROR(AA16*(1+((AA16/O16)^(1/12)-1))*(((1+((AA16/O16)^(1/12)-1))^12-1)/((AA16/O16)^(1/12)-1)),AA16*12)</f>
        <v>30000</v>
      </c>
    </row>
    <row r="17" spans="1:28" x14ac:dyDescent="0.3">
      <c r="B17" s="6" t="s">
        <v>165</v>
      </c>
      <c r="D17" s="56">
        <f>'CUSTOMER ACQUISITION &amp; REVENUE'!D21*ASSUMPTIONS!$C$42</f>
        <v>2300</v>
      </c>
      <c r="E17" s="56">
        <f>'CUSTOMER ACQUISITION &amp; REVENUE'!E21*ASSUMPTIONS!$C$42</f>
        <v>2424.6613759868646</v>
      </c>
      <c r="F17" s="56">
        <f>'CUSTOMER ACQUISITION &amp; REVENUE'!F21*ASSUMPTIONS!$C$42</f>
        <v>2555.6465570124506</v>
      </c>
      <c r="G17" s="56">
        <f>'CUSTOMER ACQUISITION &amp; REVENUE'!G21*ASSUMPTIONS!$C$42</f>
        <v>2693.265712535187</v>
      </c>
      <c r="H17" s="56">
        <f>'CUSTOMER ACQUISITION &amp; REVENUE'!H21*ASSUMPTIONS!$C$42</f>
        <v>2837.8439527965425</v>
      </c>
      <c r="I17" s="56">
        <f>'CUSTOMER ACQUISITION &amp; REVENUE'!I21*ASSUMPTIONS!$C$42</f>
        <v>2989.7220414695462</v>
      </c>
      <c r="J17" s="56">
        <f>'CUSTOMER ACQUISITION &amp; REVENUE'!J21*ASSUMPTIONS!$C$42</f>
        <v>3149.2571421178232</v>
      </c>
      <c r="K17" s="56">
        <f>'CUSTOMER ACQUISITION &amp; REVENUE'!K21*ASSUMPTIONS!$C$42</f>
        <v>3316.823600064542</v>
      </c>
      <c r="L17" s="56">
        <f>'CUSTOMER ACQUISITION &amp; REVENUE'!L21*ASSUMPTIONS!$C$42</f>
        <v>3492.8137613461586</v>
      </c>
      <c r="M17" s="56">
        <f>'CUSTOMER ACQUISITION &amp; REVENUE'!M21*ASSUMPTIONS!$C$42</f>
        <v>3677.6388305049886</v>
      </c>
      <c r="N17" s="56">
        <f>'CUSTOMER ACQUISITION &amp; REVENUE'!N21*ASSUMPTIONS!$C$42</f>
        <v>3871.7297690574105</v>
      </c>
      <c r="O17" s="56">
        <f>'CUSTOMER ACQUISITION &amp; REVENUE'!O21*ASSUMPTIONS!$C$42</f>
        <v>4075.5382365612604</v>
      </c>
      <c r="P17" s="56">
        <f>'CUSTOMER ACQUISITION &amp; REVENUE'!P21*ASSUMPTIONS!$C$42</f>
        <v>4289.5375762967906</v>
      </c>
      <c r="Q17" s="56">
        <f>'CUSTOMER ACQUISITION &amp; REVENUE'!Q21*ASSUMPTIONS!$C$42</f>
        <v>4514.2238476706707</v>
      </c>
      <c r="R17" s="56">
        <f>'CUSTOMER ACQUISITION &amp; REVENUE'!R21*ASSUMPTIONS!$C$42</f>
        <v>4750.1169075520747</v>
      </c>
      <c r="S17" s="56">
        <f>'CUSTOMER ACQUISITION &amp; REVENUE'!S21*ASSUMPTIONS!$C$42</f>
        <v>4997.7615428542276</v>
      </c>
      <c r="T17" s="56">
        <f>'CUSTOMER ACQUISITION &amp; REVENUE'!T21*ASSUMPTIONS!$C$42</f>
        <v>5257.7286567839292</v>
      </c>
      <c r="U17" s="56">
        <f>'CUSTOMER ACQUISITION &amp; REVENUE'!U21*ASSUMPTIONS!$C$42</f>
        <v>5530.6165112959716</v>
      </c>
      <c r="V17" s="56">
        <f>'CUSTOMER ACQUISITION &amp; REVENUE'!V21*ASSUMPTIONS!$C$42</f>
        <v>5817.052028409078</v>
      </c>
      <c r="W17" s="56">
        <f>'CUSTOMER ACQUISITION &amp; REVENUE'!W21*ASSUMPTIONS!$C$42</f>
        <v>6117.6921531654016</v>
      </c>
      <c r="X17" s="56">
        <f>'CUSTOMER ACQUISITION &amp; REVENUE'!X21*ASSUMPTIONS!$C$42</f>
        <v>6433.2252811468907</v>
      </c>
      <c r="Y17" s="56">
        <f>'CUSTOMER ACQUISITION &amp; REVENUE'!Y21*ASSUMPTIONS!$C$42</f>
        <v>6764.372753599363</v>
      </c>
      <c r="Z17" s="56">
        <f>'CUSTOMER ACQUISITION &amp; REVENUE'!Z21*ASSUMPTIONS!$C$42</f>
        <v>7111.8904233590602</v>
      </c>
      <c r="AA17" s="56">
        <f>'CUSTOMER ACQUISITION &amp; REVENUE'!AA21*ASSUMPTIONS!$C$42</f>
        <v>7476.5702949272336</v>
      </c>
      <c r="AB17" s="81">
        <f t="shared" si="3"/>
        <v>126537.13096031945</v>
      </c>
    </row>
    <row r="18" spans="1:28" x14ac:dyDescent="0.3">
      <c r="B18" s="5" t="s">
        <v>166</v>
      </c>
      <c r="D18" s="70">
        <f>SUM(D15:D17)</f>
        <v>5850</v>
      </c>
      <c r="E18" s="70">
        <f t="shared" ref="E18:AA18" si="4">SUM(E15:E17)</f>
        <v>6010.7457632753776</v>
      </c>
      <c r="F18" s="70">
        <f t="shared" si="4"/>
        <v>6179.0554106427971</v>
      </c>
      <c r="G18" s="70">
        <f t="shared" si="4"/>
        <v>6355.2817282205251</v>
      </c>
      <c r="H18" s="70">
        <f t="shared" si="4"/>
        <v>6539.7939074775404</v>
      </c>
      <c r="I18" s="70">
        <f t="shared" si="4"/>
        <v>6732.9783082135145</v>
      </c>
      <c r="J18" s="70">
        <f t="shared" si="4"/>
        <v>6935.2392570789916</v>
      </c>
      <c r="K18" s="70">
        <f t="shared" si="4"/>
        <v>7146.9998832946239</v>
      </c>
      <c r="L18" s="70">
        <f t="shared" si="4"/>
        <v>7368.7029933058293</v>
      </c>
      <c r="M18" s="70">
        <f t="shared" si="4"/>
        <v>7600.8119861904943</v>
      </c>
      <c r="N18" s="70">
        <f t="shared" si="4"/>
        <v>7843.8118117223166</v>
      </c>
      <c r="O18" s="70">
        <f t="shared" si="4"/>
        <v>8098.2099730813898</v>
      </c>
      <c r="P18" s="70">
        <f t="shared" si="4"/>
        <v>8364.5375762967906</v>
      </c>
      <c r="Q18" s="70">
        <f t="shared" si="4"/>
        <v>8643.3504286034404</v>
      </c>
      <c r="R18" s="70">
        <f t="shared" si="4"/>
        <v>8935.230187997593</v>
      </c>
      <c r="S18" s="70">
        <f t="shared" si="4"/>
        <v>9240.7855663822338</v>
      </c>
      <c r="T18" s="70">
        <f t="shared" si="4"/>
        <v>9560.6535888054277</v>
      </c>
      <c r="U18" s="70">
        <f t="shared" si="4"/>
        <v>9895.5009114119257</v>
      </c>
      <c r="V18" s="70">
        <f t="shared" si="4"/>
        <v>10246.025200850832</v>
      </c>
      <c r="W18" s="70">
        <f t="shared" si="4"/>
        <v>10612.956578010526</v>
      </c>
      <c r="X18" s="70">
        <f t="shared" si="4"/>
        <v>10997.059129086396</v>
      </c>
      <c r="Y18" s="70">
        <f t="shared" si="4"/>
        <v>11399.132487127623</v>
      </c>
      <c r="Z18" s="70">
        <f t="shared" si="4"/>
        <v>11820.01348735642</v>
      </c>
      <c r="AA18" s="70">
        <f t="shared" si="4"/>
        <v>12260.577899707429</v>
      </c>
      <c r="AB18" s="70">
        <f t="shared" ref="AB18" si="5">SUM(AB15:AB17)</f>
        <v>190909.68355718342</v>
      </c>
    </row>
    <row r="19" spans="1:28" x14ac:dyDescent="0.3">
      <c r="B19" s="5" t="s">
        <v>167</v>
      </c>
      <c r="D19" s="76">
        <f>D10-D18</f>
        <v>61604</v>
      </c>
      <c r="E19" s="76">
        <f t="shared" ref="E19:AA19" si="6">E10-E18</f>
        <v>65264.582665191891</v>
      </c>
      <c r="F19" s="76">
        <f t="shared" si="6"/>
        <v>69124.261538522915</v>
      </c>
      <c r="G19" s="76">
        <f t="shared" si="6"/>
        <v>73193.565810975822</v>
      </c>
      <c r="H19" s="76">
        <f t="shared" si="6"/>
        <v>77483.572225683325</v>
      </c>
      <c r="I19" s="76">
        <f t="shared" si="6"/>
        <v>82005.933260699603</v>
      </c>
      <c r="J19" s="76">
        <f t="shared" si="6"/>
        <v>86772.906753043731</v>
      </c>
      <c r="K19" s="76">
        <f t="shared" si="6"/>
        <v>91797.387037414592</v>
      </c>
      <c r="L19" s="76">
        <f t="shared" si="6"/>
        <v>97092.937676704576</v>
      </c>
      <c r="M19" s="76">
        <f t="shared" si="6"/>
        <v>102673.82586535573</v>
      </c>
      <c r="N19" s="76">
        <f t="shared" si="6"/>
        <v>108555.05859071598</v>
      </c>
      <c r="O19" s="76">
        <f t="shared" si="6"/>
        <v>114752.42064187664</v>
      </c>
      <c r="P19" s="76">
        <f t="shared" si="6"/>
        <v>121282.51456001356</v>
      </c>
      <c r="Q19" s="76">
        <f t="shared" si="6"/>
        <v>128162.8026290274</v>
      </c>
      <c r="R19" s="76">
        <f t="shared" si="6"/>
        <v>135411.65101029084</v>
      </c>
      <c r="S19" s="76">
        <f t="shared" si="6"/>
        <v>143048.37613057956</v>
      </c>
      <c r="T19" s="76">
        <f t="shared" si="6"/>
        <v>151093.29343779673</v>
      </c>
      <c r="U19" s="76">
        <f t="shared" si="6"/>
        <v>159567.7686449165</v>
      </c>
      <c r="V19" s="76">
        <f t="shared" si="6"/>
        <v>168494.27158867946</v>
      </c>
      <c r="W19" s="76">
        <f t="shared" si="6"/>
        <v>177896.4328359933</v>
      </c>
      <c r="X19" s="76">
        <f t="shared" si="6"/>
        <v>187799.10317773197</v>
      </c>
      <c r="Y19" s="76">
        <f t="shared" si="6"/>
        <v>198228.41615671437</v>
      </c>
      <c r="Z19" s="76">
        <f t="shared" si="6"/>
        <v>209211.85378408269</v>
      </c>
      <c r="AA19" s="76">
        <f t="shared" si="6"/>
        <v>220778.31560612353</v>
      </c>
      <c r="AB19" s="76">
        <f t="shared" ref="AB19" si="7">AB10-AB18</f>
        <v>3830750.1717687417</v>
      </c>
    </row>
    <row r="20" spans="1:28" x14ac:dyDescent="0.3">
      <c r="B20" s="6" t="s">
        <v>168</v>
      </c>
      <c r="D20" s="54">
        <f>IFERROR(D19/D7,0)</f>
        <v>0.5590199637023594</v>
      </c>
      <c r="E20" s="54">
        <f t="shared" ref="E20:AA20" si="8">IFERROR(E19/E7,0)</f>
        <v>0.56126865809689841</v>
      </c>
      <c r="F20" s="54">
        <f t="shared" si="8"/>
        <v>0.56344917247712323</v>
      </c>
      <c r="G20" s="54">
        <f t="shared" si="8"/>
        <v>0.5655652770414703</v>
      </c>
      <c r="H20" s="54">
        <f t="shared" si="8"/>
        <v>0.56762050926466268</v>
      </c>
      <c r="I20" s="54">
        <f t="shared" si="8"/>
        <v>0.56961818962234256</v>
      </c>
      <c r="J20" s="54">
        <f t="shared" si="8"/>
        <v>0.57156143614135235</v>
      </c>
      <c r="K20" s="54">
        <f t="shared" si="8"/>
        <v>0.57345317787313099</v>
      </c>
      <c r="L20" s="54">
        <f t="shared" si="8"/>
        <v>0.57529616737870726</v>
      </c>
      <c r="M20" s="54">
        <f t="shared" si="8"/>
        <v>0.57709299230570821</v>
      </c>
      <c r="N20" s="54">
        <f t="shared" si="8"/>
        <v>0.57884608613054145</v>
      </c>
      <c r="O20" s="54">
        <f t="shared" si="8"/>
        <v>0.58055773813237688</v>
      </c>
      <c r="P20" s="54">
        <f t="shared" si="8"/>
        <v>0.58223010265966479</v>
      </c>
      <c r="Q20" s="54">
        <f t="shared" si="8"/>
        <v>0.58386520774461281</v>
      </c>
      <c r="R20" s="54">
        <f t="shared" si="8"/>
        <v>0.58546496311623797</v>
      </c>
      <c r="S20" s="54">
        <f t="shared" si="8"/>
        <v>0.58703116765827146</v>
      </c>
      <c r="T20" s="54">
        <f t="shared" si="8"/>
        <v>0.58856551635425769</v>
      </c>
      <c r="U20" s="54">
        <f t="shared" si="8"/>
        <v>0.59006960675862474</v>
      </c>
      <c r="V20" s="54">
        <f t="shared" si="8"/>
        <v>0.59154494502926802</v>
      </c>
      <c r="W20" s="54">
        <f t="shared" si="8"/>
        <v>0.59299295155425735</v>
      </c>
      <c r="X20" s="54">
        <f t="shared" si="8"/>
        <v>0.59441496620259715</v>
      </c>
      <c r="Y20" s="54">
        <f t="shared" si="8"/>
        <v>0.59581225322655096</v>
      </c>
      <c r="Z20" s="54">
        <f t="shared" si="8"/>
        <v>0.59718600584081805</v>
      </c>
      <c r="AA20" s="54">
        <f t="shared" si="8"/>
        <v>0.59853735050184187</v>
      </c>
      <c r="AB20" s="54">
        <f t="shared" ref="AB20" si="9">IFERROR(AB19/AB7,0)</f>
        <v>0.60743779526325992</v>
      </c>
    </row>
    <row r="22" spans="1:28" s="48" customFormat="1" x14ac:dyDescent="0.3">
      <c r="A22"/>
      <c r="B22" s="77" t="s">
        <v>169</v>
      </c>
    </row>
    <row r="23" spans="1:28" x14ac:dyDescent="0.3">
      <c r="B23" s="6" t="s">
        <v>170</v>
      </c>
      <c r="D23" s="56">
        <f>'COST BUILD'!D13</f>
        <v>92000</v>
      </c>
      <c r="E23" s="56">
        <f>'COST BUILD'!E13</f>
        <v>98733.62091945915</v>
      </c>
      <c r="F23" s="56">
        <f>'COST BUILD'!F13</f>
        <v>105520.93667772505</v>
      </c>
      <c r="G23" s="56">
        <f>'COST BUILD'!G13</f>
        <v>112362.3754449827</v>
      </c>
      <c r="H23" s="56">
        <f>'COST BUILD'!H13</f>
        <v>119258.3688057062</v>
      </c>
      <c r="I23" s="56">
        <f>'COST BUILD'!I13</f>
        <v>126209.35178588491</v>
      </c>
      <c r="J23" s="56">
        <f>'COST BUILD'!J13</f>
        <v>133215.76288046647</v>
      </c>
      <c r="K23" s="56">
        <f>'COST BUILD'!K13</f>
        <v>140278.04408101883</v>
      </c>
      <c r="L23" s="56">
        <f>'COST BUILD'!L13</f>
        <v>147396.64090361283</v>
      </c>
      <c r="M23" s="56">
        <f>'COST BUILD'!M13</f>
        <v>154572.00241692696</v>
      </c>
      <c r="N23" s="56">
        <f>'COST BUILD'!N13</f>
        <v>161804.58127057637</v>
      </c>
      <c r="O23" s="56">
        <f>'COST BUILD'!O13</f>
        <v>169094.83372366792</v>
      </c>
      <c r="P23" s="56">
        <f>'COST BUILD'!P13</f>
        <v>176443.21967358259</v>
      </c>
      <c r="Q23" s="56">
        <f>'COST BUILD'!Q13</f>
        <v>183850.20268498766</v>
      </c>
      <c r="R23" s="56">
        <f>'COST BUILD'!R13</f>
        <v>191316.25001908015</v>
      </c>
      <c r="S23" s="56">
        <f>'COST BUILD'!S13</f>
        <v>198841.83266306357</v>
      </c>
      <c r="T23" s="56">
        <f>'COST BUILD'!T13</f>
        <v>206427.42535985942</v>
      </c>
      <c r="U23" s="56">
        <f>'COST BUILD'!U13</f>
        <v>214073.50663805599</v>
      </c>
      <c r="V23" s="56">
        <f>'COST BUILD'!V13</f>
        <v>221780.55884209575</v>
      </c>
      <c r="W23" s="56">
        <f>'COST BUILD'!W13</f>
        <v>229549.06816270336</v>
      </c>
      <c r="X23" s="56">
        <f>'COST BUILD'!X13</f>
        <v>237379.52466755678</v>
      </c>
      <c r="Y23" s="56">
        <f>'COST BUILD'!Y13</f>
        <v>245272.42233220229</v>
      </c>
      <c r="Z23" s="56">
        <f>'COST BUILD'!Z13</f>
        <v>253228.25907121666</v>
      </c>
      <c r="AA23" s="56">
        <f>'COST BUILD'!AA13</f>
        <v>261247.53676961735</v>
      </c>
      <c r="AB23" s="56">
        <f>'COST BUILD'!AB13</f>
        <v>3999090.581934033</v>
      </c>
    </row>
    <row r="24" spans="1:28" x14ac:dyDescent="0.3">
      <c r="B24" s="6" t="s">
        <v>171</v>
      </c>
      <c r="D24" s="56">
        <f>'COST BUILD'!D20</f>
        <v>18000</v>
      </c>
      <c r="E24" s="56">
        <f>'COST BUILD'!E20</f>
        <v>18170.798272822496</v>
      </c>
      <c r="F24" s="56">
        <f>'COST BUILD'!F20</f>
        <v>18343.217215089386</v>
      </c>
      <c r="G24" s="56">
        <f>'COST BUILD'!G20</f>
        <v>18517.272204997447</v>
      </c>
      <c r="H24" s="56">
        <f>'COST BUILD'!H20</f>
        <v>18692.978766663982</v>
      </c>
      <c r="I24" s="56">
        <f>'COST BUILD'!I20</f>
        <v>18870.352571511408</v>
      </c>
      <c r="J24" s="56">
        <f>'COST BUILD'!J20</f>
        <v>19049.409439665058</v>
      </c>
      <c r="K24" s="56">
        <f>'COST BUILD'!K20</f>
        <v>19230.165341364132</v>
      </c>
      <c r="L24" s="56">
        <f>'COST BUILD'!L20</f>
        <v>19412.636398386134</v>
      </c>
      <c r="M24" s="56">
        <f>'COST BUILD'!M20</f>
        <v>19596.838885484769</v>
      </c>
      <c r="N24" s="56">
        <f>'COST BUILD'!N20</f>
        <v>19782.789231841522</v>
      </c>
      <c r="O24" s="56">
        <f>'COST BUILD'!O20</f>
        <v>19970.504022530964</v>
      </c>
      <c r="P24" s="56">
        <f>'COST BUILD'!P20</f>
        <v>20160.000000000018</v>
      </c>
      <c r="Q24" s="56">
        <f>'COST BUILD'!Q20</f>
        <v>20351.294065561211</v>
      </c>
      <c r="R24" s="56">
        <f>'COST BUILD'!R20</f>
        <v>20544.403280900129</v>
      </c>
      <c r="S24" s="56">
        <f>'COST BUILD'!S20</f>
        <v>20739.34486959716</v>
      </c>
      <c r="T24" s="56">
        <f>'COST BUILD'!T20</f>
        <v>20936.136218663672</v>
      </c>
      <c r="U24" s="56">
        <f>'COST BUILD'!U20</f>
        <v>21134.794880092799</v>
      </c>
      <c r="V24" s="56">
        <f>'COST BUILD'!V20</f>
        <v>21335.338572424884</v>
      </c>
      <c r="W24" s="56">
        <f>'COST BUILD'!W20</f>
        <v>21537.785182327843</v>
      </c>
      <c r="X24" s="56">
        <f>'COST BUILD'!X20</f>
        <v>21742.152766192485</v>
      </c>
      <c r="Y24" s="56">
        <f>'COST BUILD'!Y20</f>
        <v>21948.459551742959</v>
      </c>
      <c r="Z24" s="56">
        <f>'COST BUILD'!Z20</f>
        <v>22156.723939662519</v>
      </c>
      <c r="AA24" s="56">
        <f>'COST BUILD'!AA20</f>
        <v>22366.964505234697</v>
      </c>
      <c r="AB24" s="56">
        <f>'COST BUILD'!AB20</f>
        <v>285547.8055722898</v>
      </c>
    </row>
    <row r="25" spans="1:28" x14ac:dyDescent="0.3">
      <c r="B25" s="5" t="s">
        <v>172</v>
      </c>
      <c r="D25" s="57">
        <f>SUM(D23:D24)</f>
        <v>110000</v>
      </c>
      <c r="E25" s="57">
        <f t="shared" ref="E25:AA25" si="10">SUM(E23:E24)</f>
        <v>116904.41919228164</v>
      </c>
      <c r="F25" s="57">
        <f t="shared" si="10"/>
        <v>123864.15389281444</v>
      </c>
      <c r="G25" s="57">
        <f t="shared" si="10"/>
        <v>130879.64764998015</v>
      </c>
      <c r="H25" s="57">
        <f t="shared" si="10"/>
        <v>137951.34757237017</v>
      </c>
      <c r="I25" s="57">
        <f t="shared" si="10"/>
        <v>145079.70435739632</v>
      </c>
      <c r="J25" s="57">
        <f t="shared" si="10"/>
        <v>152265.17232013153</v>
      </c>
      <c r="K25" s="57">
        <f t="shared" si="10"/>
        <v>159508.20942238296</v>
      </c>
      <c r="L25" s="57">
        <f t="shared" si="10"/>
        <v>166809.27730199895</v>
      </c>
      <c r="M25" s="57">
        <f t="shared" si="10"/>
        <v>174168.84130241172</v>
      </c>
      <c r="N25" s="57">
        <f t="shared" si="10"/>
        <v>181587.37050241788</v>
      </c>
      <c r="O25" s="57">
        <f t="shared" si="10"/>
        <v>189065.33774619887</v>
      </c>
      <c r="P25" s="57">
        <f t="shared" si="10"/>
        <v>196603.21967358261</v>
      </c>
      <c r="Q25" s="57">
        <f t="shared" si="10"/>
        <v>204201.49675054886</v>
      </c>
      <c r="R25" s="57">
        <f t="shared" si="10"/>
        <v>211860.65329998027</v>
      </c>
      <c r="S25" s="57">
        <f t="shared" si="10"/>
        <v>219581.17753266072</v>
      </c>
      <c r="T25" s="57">
        <f t="shared" si="10"/>
        <v>227363.56157852311</v>
      </c>
      <c r="U25" s="57">
        <f t="shared" si="10"/>
        <v>235208.3015181488</v>
      </c>
      <c r="V25" s="57">
        <f t="shared" si="10"/>
        <v>243115.89741452064</v>
      </c>
      <c r="W25" s="57">
        <f t="shared" si="10"/>
        <v>251086.85334503121</v>
      </c>
      <c r="X25" s="57">
        <f t="shared" si="10"/>
        <v>259121.67743374925</v>
      </c>
      <c r="Y25" s="57">
        <f t="shared" si="10"/>
        <v>267220.88188394526</v>
      </c>
      <c r="Z25" s="57">
        <f t="shared" si="10"/>
        <v>275384.98301087919</v>
      </c>
      <c r="AA25" s="57">
        <f t="shared" si="10"/>
        <v>283614.50127485202</v>
      </c>
      <c r="AB25" s="57">
        <f t="shared" ref="AB25" si="11">SUM(AB23:AB24)</f>
        <v>4284638.3875063229</v>
      </c>
    </row>
    <row r="26" spans="1:28" x14ac:dyDescent="0.3">
      <c r="B26" s="3"/>
    </row>
    <row r="27" spans="1:28" x14ac:dyDescent="0.3">
      <c r="B27" s="5" t="s">
        <v>173</v>
      </c>
      <c r="D27" s="57">
        <f>D19-D25</f>
        <v>-48396</v>
      </c>
      <c r="E27" s="57">
        <f t="shared" ref="E27:AA27" si="12">E19-E25</f>
        <v>-51639.836527089748</v>
      </c>
      <c r="F27" s="57">
        <f t="shared" si="12"/>
        <v>-54739.892354291529</v>
      </c>
      <c r="G27" s="57">
        <f t="shared" si="12"/>
        <v>-57686.081839004328</v>
      </c>
      <c r="H27" s="57">
        <f t="shared" si="12"/>
        <v>-60467.775346686845</v>
      </c>
      <c r="I27" s="57">
        <f t="shared" si="12"/>
        <v>-63073.771096696713</v>
      </c>
      <c r="J27" s="57">
        <f t="shared" si="12"/>
        <v>-65492.265567087801</v>
      </c>
      <c r="K27" s="57">
        <f t="shared" si="12"/>
        <v>-67710.822384968371</v>
      </c>
      <c r="L27" s="57">
        <f t="shared" si="12"/>
        <v>-69716.339625294378</v>
      </c>
      <c r="M27" s="57">
        <f t="shared" si="12"/>
        <v>-71495.01543705599</v>
      </c>
      <c r="N27" s="57">
        <f t="shared" si="12"/>
        <v>-73032.311911701894</v>
      </c>
      <c r="O27" s="57">
        <f t="shared" si="12"/>
        <v>-74312.91710432223</v>
      </c>
      <c r="P27" s="57">
        <f t="shared" si="12"/>
        <v>-75320.705113569056</v>
      </c>
      <c r="Q27" s="57">
        <f t="shared" si="12"/>
        <v>-76038.694121521461</v>
      </c>
      <c r="R27" s="57">
        <f t="shared" si="12"/>
        <v>-76449.002289689437</v>
      </c>
      <c r="S27" s="57">
        <f t="shared" si="12"/>
        <v>-76532.801402081153</v>
      </c>
      <c r="T27" s="57">
        <f t="shared" si="12"/>
        <v>-76270.268140726374</v>
      </c>
      <c r="U27" s="57">
        <f t="shared" si="12"/>
        <v>-75640.532873232296</v>
      </c>
      <c r="V27" s="57">
        <f t="shared" si="12"/>
        <v>-74621.625825841184</v>
      </c>
      <c r="W27" s="57">
        <f t="shared" si="12"/>
        <v>-73190.420509037911</v>
      </c>
      <c r="X27" s="57">
        <f t="shared" si="12"/>
        <v>-71322.57425601728</v>
      </c>
      <c r="Y27" s="57">
        <f t="shared" si="12"/>
        <v>-68992.465727230883</v>
      </c>
      <c r="Z27" s="57">
        <f t="shared" si="12"/>
        <v>-66173.129226796504</v>
      </c>
      <c r="AA27" s="57">
        <f t="shared" si="12"/>
        <v>-62836.185668728489</v>
      </c>
      <c r="AB27" s="57">
        <f t="shared" ref="AB27" si="13">AB19-AB25</f>
        <v>-453888.21573758125</v>
      </c>
    </row>
    <row r="28" spans="1:28" x14ac:dyDescent="0.3">
      <c r="B28" s="6" t="s">
        <v>174</v>
      </c>
      <c r="D28" s="101">
        <f>IFERROR(D27/D7,0)</f>
        <v>-0.43916515426497277</v>
      </c>
      <c r="E28" s="101">
        <f t="shared" ref="E28:AA28" si="14">IFERROR(E27/E7,0)</f>
        <v>-0.44409725104028047</v>
      </c>
      <c r="F28" s="101">
        <f t="shared" si="14"/>
        <v>-0.44619857575365918</v>
      </c>
      <c r="G28" s="101">
        <f t="shared" si="14"/>
        <v>-0.44573924627430916</v>
      </c>
      <c r="H28" s="101">
        <f t="shared" si="14"/>
        <v>-0.4429680827881437</v>
      </c>
      <c r="I28" s="101">
        <f t="shared" si="14"/>
        <v>-0.4381142421797482</v>
      </c>
      <c r="J28" s="101">
        <f t="shared" si="14"/>
        <v>-0.43138872217580188</v>
      </c>
      <c r="K28" s="101">
        <f t="shared" si="14"/>
        <v>-0.42298574639425635</v>
      </c>
      <c r="L28" s="101">
        <f t="shared" si="14"/>
        <v>-0.41308404040314789</v>
      </c>
      <c r="M28" s="101">
        <f t="shared" si="14"/>
        <v>-0.40184800795891235</v>
      </c>
      <c r="N28" s="101">
        <f t="shared" si="14"/>
        <v>-0.38942881575459837</v>
      </c>
      <c r="O28" s="101">
        <f t="shared" si="14"/>
        <v>-0.37596539425295544</v>
      </c>
      <c r="P28" s="101">
        <f t="shared" si="14"/>
        <v>-0.36158536149884679</v>
      </c>
      <c r="Q28" s="101">
        <f t="shared" si="14"/>
        <v>-0.34640587619169261</v>
      </c>
      <c r="R28" s="101">
        <f t="shared" si="14"/>
        <v>-0.33053442574453762</v>
      </c>
      <c r="S28" s="101">
        <f t="shared" si="14"/>
        <v>-0.31406955455552482</v>
      </c>
      <c r="T28" s="101">
        <f t="shared" si="14"/>
        <v>-0.29710153726449146</v>
      </c>
      <c r="U28" s="101">
        <f t="shared" si="14"/>
        <v>-0.27971300135707533</v>
      </c>
      <c r="V28" s="101">
        <f t="shared" si="14"/>
        <v>-0.26197950310678442</v>
      </c>
      <c r="W28" s="101">
        <f t="shared" si="14"/>
        <v>-0.24397006050798314</v>
      </c>
      <c r="X28" s="101">
        <f t="shared" si="14"/>
        <v>-0.22574764654626792</v>
      </c>
      <c r="Y28" s="101">
        <f t="shared" si="14"/>
        <v>-0.207369645874077</v>
      </c>
      <c r="Z28" s="101">
        <f t="shared" si="14"/>
        <v>-0.18888827770592365</v>
      </c>
      <c r="AA28" s="101">
        <f t="shared" si="14"/>
        <v>-0.17035098751681663</v>
      </c>
      <c r="AB28" s="101">
        <f t="shared" ref="AB28" si="15">IFERROR(AB27/AB7,0)</f>
        <v>-7.1972549683737369E-2</v>
      </c>
    </row>
    <row r="29" spans="1:28" x14ac:dyDescent="0.3">
      <c r="B29" s="6" t="s">
        <v>175</v>
      </c>
      <c r="D29" s="56">
        <f>-('COST BUILD'!D27)</f>
        <v>-312.5</v>
      </c>
      <c r="E29" s="56">
        <f>-('COST BUILD'!E27)</f>
        <v>-627.9652477920572</v>
      </c>
      <c r="F29" s="56">
        <f>-('COST BUILD'!F27)</f>
        <v>-946.42387999847017</v>
      </c>
      <c r="G29" s="56">
        <f>-('COST BUILD'!G27)</f>
        <v>-1267.9043002241203</v>
      </c>
      <c r="H29" s="56">
        <f>-('COST BUILD'!H27)</f>
        <v>-1592.4351815898144</v>
      </c>
      <c r="I29" s="56">
        <f>-('COST BUILD'!I27)</f>
        <v>-1920.0454692896653</v>
      </c>
      <c r="J29" s="56">
        <f>-('COST BUILD'!J27)</f>
        <v>-2250.7643831727396</v>
      </c>
      <c r="K29" s="56">
        <f>-('COST BUILD'!K27)</f>
        <v>-2584.6214203492004</v>
      </c>
      <c r="L29" s="56">
        <f>-('COST BUILD'!L27)</f>
        <v>-2921.6463578211819</v>
      </c>
      <c r="M29" s="56">
        <f>-('COST BUILD'!M27)</f>
        <v>-3261.8692551386252</v>
      </c>
      <c r="N29" s="56">
        <f>-('COST BUILD'!N27)</f>
        <v>-3605.3204570803186</v>
      </c>
      <c r="O29" s="56">
        <f>-('COST BUILD'!O27)</f>
        <v>-3952.0305963603701</v>
      </c>
      <c r="P29" s="56">
        <f>-('COST BUILD'!P27)</f>
        <v>-4302.0305963603705</v>
      </c>
      <c r="Q29" s="56">
        <f>-('COST BUILD'!Q27)</f>
        <v>-4655.3516738874741</v>
      </c>
      <c r="R29" s="56">
        <f>-('COST BUILD'!R27)</f>
        <v>-5012.0253419586579</v>
      </c>
      <c r="S29" s="56">
        <f>-('COST BUILD'!S27)</f>
        <v>-5372.0834126113859</v>
      </c>
      <c r="T29" s="56">
        <f>-('COST BUILD'!T27)</f>
        <v>-5735.5579997409632</v>
      </c>
      <c r="U29" s="56">
        <f>-('COST BUILD'!U27)</f>
        <v>-6102.4815219647971</v>
      </c>
      <c r="V29" s="56">
        <f>-('COST BUILD'!V27)</f>
        <v>-6472.8867055138398</v>
      </c>
      <c r="W29" s="56">
        <f>-('COST BUILD'!W27)</f>
        <v>-6846.8065871514764</v>
      </c>
      <c r="X29" s="56">
        <f>-('COST BUILD'!X27)</f>
        <v>-7224.2745171200959</v>
      </c>
      <c r="Y29" s="56">
        <f>-('COST BUILD'!Y27)</f>
        <v>-7605.324162115634</v>
      </c>
      <c r="Z29" s="56">
        <f>-('COST BUILD'!Z27)</f>
        <v>-7989.9895082903304</v>
      </c>
      <c r="AA29" s="56">
        <f>-('COST BUILD'!AA27)</f>
        <v>-8378.3048642839876</v>
      </c>
      <c r="AB29" s="56">
        <f>-('COST BUILD'!AB27)</f>
        <v>-154597.09004584601</v>
      </c>
    </row>
    <row r="30" spans="1:28" x14ac:dyDescent="0.3">
      <c r="B30" s="5" t="s">
        <v>176</v>
      </c>
      <c r="D30" s="57">
        <f>D27+D29</f>
        <v>-48708.5</v>
      </c>
      <c r="E30" s="57">
        <f t="shared" ref="E30:AA30" si="16">E27+E29</f>
        <v>-52267.801774881809</v>
      </c>
      <c r="F30" s="57">
        <f t="shared" si="16"/>
        <v>-55686.316234289996</v>
      </c>
      <c r="G30" s="57">
        <f t="shared" si="16"/>
        <v>-58953.986139228451</v>
      </c>
      <c r="H30" s="57">
        <f t="shared" si="16"/>
        <v>-62060.210528276657</v>
      </c>
      <c r="I30" s="57">
        <f t="shared" si="16"/>
        <v>-64993.816565986381</v>
      </c>
      <c r="J30" s="57">
        <f t="shared" si="16"/>
        <v>-67743.029950260534</v>
      </c>
      <c r="K30" s="57">
        <f t="shared" si="16"/>
        <v>-70295.443805317569</v>
      </c>
      <c r="L30" s="57">
        <f t="shared" si="16"/>
        <v>-72637.985983115563</v>
      </c>
      <c r="M30" s="57">
        <f t="shared" si="16"/>
        <v>-74756.88469219461</v>
      </c>
      <c r="N30" s="57">
        <f t="shared" si="16"/>
        <v>-76637.632368782215</v>
      </c>
      <c r="O30" s="57">
        <f t="shared" si="16"/>
        <v>-78264.947700682606</v>
      </c>
      <c r="P30" s="57">
        <f t="shared" si="16"/>
        <v>-79622.735709929431</v>
      </c>
      <c r="Q30" s="57">
        <f t="shared" si="16"/>
        <v>-80694.045795408936</v>
      </c>
      <c r="R30" s="57">
        <f t="shared" si="16"/>
        <v>-81461.027631648089</v>
      </c>
      <c r="S30" s="57">
        <f t="shared" si="16"/>
        <v>-81904.884814692545</v>
      </c>
      <c r="T30" s="57">
        <f t="shared" si="16"/>
        <v>-82005.826140467339</v>
      </c>
      <c r="U30" s="57">
        <f t="shared" si="16"/>
        <v>-81743.014395197097</v>
      </c>
      <c r="V30" s="57">
        <f t="shared" si="16"/>
        <v>-81094.512531355023</v>
      </c>
      <c r="W30" s="57">
        <f t="shared" si="16"/>
        <v>-80037.227096189381</v>
      </c>
      <c r="X30" s="57">
        <f t="shared" si="16"/>
        <v>-78546.848773137375</v>
      </c>
      <c r="Y30" s="57">
        <f t="shared" si="16"/>
        <v>-76597.789889346517</v>
      </c>
      <c r="Z30" s="57">
        <f t="shared" si="16"/>
        <v>-74163.118735086828</v>
      </c>
      <c r="AA30" s="57">
        <f t="shared" si="16"/>
        <v>-71214.490533012475</v>
      </c>
      <c r="AB30" s="57">
        <f t="shared" ref="AB30" si="17">AB27+AB29</f>
        <v>-608485.30578342732</v>
      </c>
    </row>
    <row r="31" spans="1:28" x14ac:dyDescent="0.3">
      <c r="B31" s="3"/>
    </row>
    <row r="32" spans="1:28" x14ac:dyDescent="0.3">
      <c r="B32" s="6" t="s">
        <v>177</v>
      </c>
      <c r="D32" s="65">
        <f>-MAX(D30,0)*ASSUMPTIONS!$C$76</f>
        <v>0</v>
      </c>
      <c r="E32" s="65">
        <f>-MAX(E30,0)*ASSUMPTIONS!$C$76</f>
        <v>0</v>
      </c>
      <c r="F32" s="65">
        <f>-MAX(F30,0)*ASSUMPTIONS!$C$76</f>
        <v>0</v>
      </c>
      <c r="G32" s="65">
        <f>-MAX(G30,0)*ASSUMPTIONS!$C$76</f>
        <v>0</v>
      </c>
      <c r="H32" s="65">
        <f>-MAX(H30,0)*ASSUMPTIONS!$C$76</f>
        <v>0</v>
      </c>
      <c r="I32" s="65">
        <f>-MAX(I30,0)*ASSUMPTIONS!$C$76</f>
        <v>0</v>
      </c>
      <c r="J32" s="65">
        <f>-MAX(J30,0)*ASSUMPTIONS!$C$76</f>
        <v>0</v>
      </c>
      <c r="K32" s="65">
        <f>-MAX(K30,0)*ASSUMPTIONS!$C$76</f>
        <v>0</v>
      </c>
      <c r="L32" s="65">
        <f>-MAX(L30,0)*ASSUMPTIONS!$C$76</f>
        <v>0</v>
      </c>
      <c r="M32" s="65">
        <f>-MAX(M30,0)*ASSUMPTIONS!$C$76</f>
        <v>0</v>
      </c>
      <c r="N32" s="65">
        <f>-MAX(N30,0)*ASSUMPTIONS!$C$76</f>
        <v>0</v>
      </c>
      <c r="O32" s="65">
        <f>-MAX(O30,0)*ASSUMPTIONS!$C$76</f>
        <v>0</v>
      </c>
      <c r="P32" s="65">
        <f>-MAX(P30,0)*ASSUMPTIONS!$C$76</f>
        <v>0</v>
      </c>
      <c r="Q32" s="65">
        <f>-MAX(Q30,0)*ASSUMPTIONS!$C$76</f>
        <v>0</v>
      </c>
      <c r="R32" s="65">
        <f>-MAX(R30,0)*ASSUMPTIONS!$C$76</f>
        <v>0</v>
      </c>
      <c r="S32" s="65">
        <f>-MAX(S30,0)*ASSUMPTIONS!$C$76</f>
        <v>0</v>
      </c>
      <c r="T32" s="65">
        <f>-MAX(T30,0)*ASSUMPTIONS!$C$76</f>
        <v>0</v>
      </c>
      <c r="U32" s="65">
        <f>-MAX(U30,0)*ASSUMPTIONS!$C$76</f>
        <v>0</v>
      </c>
      <c r="V32" s="65">
        <f>-MAX(V30,0)*ASSUMPTIONS!$C$76</f>
        <v>0</v>
      </c>
      <c r="W32" s="65">
        <f>-MAX(W30,0)*ASSUMPTIONS!$C$76</f>
        <v>0</v>
      </c>
      <c r="X32" s="65">
        <f>-MAX(X30,0)*ASSUMPTIONS!$C$76</f>
        <v>0</v>
      </c>
      <c r="Y32" s="65">
        <f>-MAX(Y30,0)*ASSUMPTIONS!$C$76</f>
        <v>0</v>
      </c>
      <c r="Z32" s="65">
        <f>-MAX(Z30,0)*ASSUMPTIONS!$C$76</f>
        <v>0</v>
      </c>
      <c r="AA32" s="65">
        <f>-MAX(AA30,0)*ASSUMPTIONS!$C$76</f>
        <v>0</v>
      </c>
      <c r="AB32" s="65">
        <f>-MAX(AB30,0)*ASSUMPTIONS!$C$76</f>
        <v>0</v>
      </c>
    </row>
    <row r="33" spans="2:28" x14ac:dyDescent="0.3">
      <c r="B33" s="5" t="s">
        <v>178</v>
      </c>
      <c r="D33" s="57">
        <f>D30+D32</f>
        <v>-48708.5</v>
      </c>
      <c r="E33" s="57">
        <f t="shared" ref="E33:AA33" si="18">E30+E32</f>
        <v>-52267.801774881809</v>
      </c>
      <c r="F33" s="57">
        <f t="shared" si="18"/>
        <v>-55686.316234289996</v>
      </c>
      <c r="G33" s="57">
        <f t="shared" si="18"/>
        <v>-58953.986139228451</v>
      </c>
      <c r="H33" s="57">
        <f t="shared" si="18"/>
        <v>-62060.210528276657</v>
      </c>
      <c r="I33" s="57">
        <f t="shared" si="18"/>
        <v>-64993.816565986381</v>
      </c>
      <c r="J33" s="57">
        <f t="shared" si="18"/>
        <v>-67743.029950260534</v>
      </c>
      <c r="K33" s="57">
        <f t="shared" si="18"/>
        <v>-70295.443805317569</v>
      </c>
      <c r="L33" s="57">
        <f t="shared" si="18"/>
        <v>-72637.985983115563</v>
      </c>
      <c r="M33" s="57">
        <f t="shared" si="18"/>
        <v>-74756.88469219461</v>
      </c>
      <c r="N33" s="57">
        <f t="shared" si="18"/>
        <v>-76637.632368782215</v>
      </c>
      <c r="O33" s="57">
        <f t="shared" si="18"/>
        <v>-78264.947700682606</v>
      </c>
      <c r="P33" s="57">
        <f t="shared" si="18"/>
        <v>-79622.735709929431</v>
      </c>
      <c r="Q33" s="57">
        <f t="shared" si="18"/>
        <v>-80694.045795408936</v>
      </c>
      <c r="R33" s="57">
        <f t="shared" si="18"/>
        <v>-81461.027631648089</v>
      </c>
      <c r="S33" s="57">
        <f t="shared" si="18"/>
        <v>-81904.884814692545</v>
      </c>
      <c r="T33" s="57">
        <f t="shared" si="18"/>
        <v>-82005.826140467339</v>
      </c>
      <c r="U33" s="57">
        <f t="shared" si="18"/>
        <v>-81743.014395197097</v>
      </c>
      <c r="V33" s="57">
        <f t="shared" si="18"/>
        <v>-81094.512531355023</v>
      </c>
      <c r="W33" s="57">
        <f t="shared" si="18"/>
        <v>-80037.227096189381</v>
      </c>
      <c r="X33" s="57">
        <f t="shared" si="18"/>
        <v>-78546.848773137375</v>
      </c>
      <c r="Y33" s="57">
        <f t="shared" si="18"/>
        <v>-76597.789889346517</v>
      </c>
      <c r="Z33" s="57">
        <f t="shared" si="18"/>
        <v>-74163.118735086828</v>
      </c>
      <c r="AA33" s="57">
        <f t="shared" si="18"/>
        <v>-71214.490533012475</v>
      </c>
      <c r="AB33" s="57">
        <f t="shared" ref="AB33" si="19">AB30+AB32</f>
        <v>-608485.30578342732</v>
      </c>
    </row>
    <row r="35" spans="2:28" x14ac:dyDescent="0.3">
      <c r="B35" s="119" t="s">
        <v>179</v>
      </c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x14ac:dyDescent="0.3">
      <c r="C36" s="79" t="s">
        <v>181</v>
      </c>
      <c r="D36" s="79" t="s">
        <v>182</v>
      </c>
      <c r="E36" s="80" t="s">
        <v>183</v>
      </c>
    </row>
    <row r="37" spans="2:28" x14ac:dyDescent="0.3">
      <c r="B37" s="5" t="s">
        <v>180</v>
      </c>
      <c r="C37" s="57">
        <f>SUM(D7:O7)</f>
        <v>1802827.5161149793</v>
      </c>
      <c r="D37" s="57">
        <f>SUM(P7:AA7)</f>
        <v>3382590.8532595308</v>
      </c>
      <c r="E37" s="68">
        <f>AB7</f>
        <v>6306407.3418555027</v>
      </c>
    </row>
    <row r="38" spans="2:28" x14ac:dyDescent="0.3">
      <c r="B38" s="5" t="s">
        <v>173</v>
      </c>
      <c r="C38" s="57">
        <f>SUM(D27:O27)</f>
        <v>-757763.02919419983</v>
      </c>
      <c r="D38" s="57">
        <f>SUM(P27:AA27)</f>
        <v>-873388.40515447198</v>
      </c>
      <c r="E38" s="68">
        <f>AB27</f>
        <v>-453888.21573758125</v>
      </c>
    </row>
    <row r="39" spans="2:28" x14ac:dyDescent="0.3">
      <c r="B39" s="5" t="s">
        <v>178</v>
      </c>
      <c r="C39" s="57">
        <f>SUM(D33:O33)</f>
        <v>-783006.5557430163</v>
      </c>
      <c r="D39" s="57">
        <f>SUM(P33:AA33)</f>
        <v>-949085.52204547101</v>
      </c>
      <c r="E39" s="68">
        <f>AB33</f>
        <v>-608485.30578342732</v>
      </c>
    </row>
  </sheetData>
  <mergeCells count="1">
    <mergeCell ref="B35:A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0411-BA81-44A9-A95F-DEA9E2C10672}">
  <dimension ref="A2:AC45"/>
  <sheetViews>
    <sheetView showGridLines="0" topLeftCell="A17" workbookViewId="0">
      <selection sqref="A1:AC7"/>
    </sheetView>
  </sheetViews>
  <sheetFormatPr defaultRowHeight="15.6" x14ac:dyDescent="0.3"/>
  <cols>
    <col min="1" max="1" width="3.796875" style="3" customWidth="1"/>
    <col min="2" max="2" width="37.3984375" style="3" bestFit="1" customWidth="1"/>
    <col min="3" max="3" width="7.59765625" style="3" bestFit="1" customWidth="1"/>
    <col min="4" max="5" width="9.8984375" style="3" bestFit="1" customWidth="1"/>
    <col min="6" max="17" width="9.796875" style="3" bestFit="1" customWidth="1"/>
    <col min="18" max="28" width="11.296875" style="3" bestFit="1" customWidth="1"/>
    <col min="29" max="16384" width="8.796875" style="3"/>
  </cols>
  <sheetData>
    <row r="2" spans="1:29" ht="17.399999999999999" x14ac:dyDescent="0.3">
      <c r="A2" s="47" t="s">
        <v>184</v>
      </c>
    </row>
    <row r="4" spans="1:29" x14ac:dyDescent="0.3">
      <c r="D4" s="52">
        <v>2027</v>
      </c>
      <c r="P4" s="52">
        <v>2028</v>
      </c>
    </row>
    <row r="5" spans="1:29" x14ac:dyDescent="0.3">
      <c r="C5" s="82" t="s">
        <v>135</v>
      </c>
      <c r="D5" s="83">
        <v>1</v>
      </c>
      <c r="E5" s="84">
        <v>2</v>
      </c>
      <c r="F5" s="84">
        <v>3</v>
      </c>
      <c r="G5" s="84">
        <f>F5+1</f>
        <v>4</v>
      </c>
      <c r="H5" s="84">
        <f t="shared" ref="H5:AA5" si="0">G5+1</f>
        <v>5</v>
      </c>
      <c r="I5" s="84">
        <f t="shared" si="0"/>
        <v>6</v>
      </c>
      <c r="J5" s="84">
        <f t="shared" si="0"/>
        <v>7</v>
      </c>
      <c r="K5" s="84">
        <f t="shared" si="0"/>
        <v>8</v>
      </c>
      <c r="L5" s="84">
        <f t="shared" si="0"/>
        <v>9</v>
      </c>
      <c r="M5" s="84">
        <f t="shared" si="0"/>
        <v>10</v>
      </c>
      <c r="N5" s="84">
        <f t="shared" si="0"/>
        <v>11</v>
      </c>
      <c r="O5" s="84">
        <f t="shared" si="0"/>
        <v>12</v>
      </c>
      <c r="P5" s="84">
        <f t="shared" si="0"/>
        <v>13</v>
      </c>
      <c r="Q5" s="84">
        <f t="shared" si="0"/>
        <v>14</v>
      </c>
      <c r="R5" s="84">
        <f t="shared" si="0"/>
        <v>15</v>
      </c>
      <c r="S5" s="84">
        <f t="shared" si="0"/>
        <v>16</v>
      </c>
      <c r="T5" s="84">
        <f t="shared" si="0"/>
        <v>17</v>
      </c>
      <c r="U5" s="84">
        <f t="shared" si="0"/>
        <v>18</v>
      </c>
      <c r="V5" s="84">
        <f t="shared" si="0"/>
        <v>19</v>
      </c>
      <c r="W5" s="84">
        <f t="shared" si="0"/>
        <v>20</v>
      </c>
      <c r="X5" s="84">
        <f t="shared" si="0"/>
        <v>21</v>
      </c>
      <c r="Y5" s="84">
        <f t="shared" si="0"/>
        <v>22</v>
      </c>
      <c r="Z5" s="84">
        <f t="shared" si="0"/>
        <v>23</v>
      </c>
      <c r="AA5" s="84">
        <f t="shared" si="0"/>
        <v>24</v>
      </c>
      <c r="AB5" s="84" t="s">
        <v>134</v>
      </c>
      <c r="AC5" s="85"/>
    </row>
    <row r="8" spans="1:29" x14ac:dyDescent="0.3">
      <c r="B8" s="117" t="s">
        <v>185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 spans="1:29" x14ac:dyDescent="0.3">
      <c r="B9" s="6" t="s">
        <v>178</v>
      </c>
      <c r="D9" s="86">
        <f>'MONTHLY P&amp;L'!D33</f>
        <v>-48708.5</v>
      </c>
      <c r="E9" s="86">
        <f>'MONTHLY P&amp;L'!E33</f>
        <v>-52267.801774881809</v>
      </c>
      <c r="F9" s="86">
        <f>'MONTHLY P&amp;L'!F33</f>
        <v>-55686.316234289996</v>
      </c>
      <c r="G9" s="86">
        <f>'MONTHLY P&amp;L'!G33</f>
        <v>-58953.986139228451</v>
      </c>
      <c r="H9" s="86">
        <f>'MONTHLY P&amp;L'!H33</f>
        <v>-62060.210528276657</v>
      </c>
      <c r="I9" s="86">
        <f>'MONTHLY P&amp;L'!I33</f>
        <v>-64993.816565986381</v>
      </c>
      <c r="J9" s="86">
        <f>'MONTHLY P&amp;L'!J33</f>
        <v>-67743.029950260534</v>
      </c>
      <c r="K9" s="86">
        <f>'MONTHLY P&amp;L'!K33</f>
        <v>-70295.443805317569</v>
      </c>
      <c r="L9" s="86">
        <f>'MONTHLY P&amp;L'!L33</f>
        <v>-72637.985983115563</v>
      </c>
      <c r="M9" s="86">
        <f>'MONTHLY P&amp;L'!M33</f>
        <v>-74756.88469219461</v>
      </c>
      <c r="N9" s="86">
        <f>'MONTHLY P&amp;L'!N33</f>
        <v>-76637.632368782215</v>
      </c>
      <c r="O9" s="86">
        <f>'MONTHLY P&amp;L'!O33</f>
        <v>-78264.947700682606</v>
      </c>
      <c r="P9" s="86">
        <f>'MONTHLY P&amp;L'!P33</f>
        <v>-79622.735709929431</v>
      </c>
      <c r="Q9" s="86">
        <f>'MONTHLY P&amp;L'!Q33</f>
        <v>-80694.045795408936</v>
      </c>
      <c r="R9" s="86">
        <f>'MONTHLY P&amp;L'!R33</f>
        <v>-81461.027631648089</v>
      </c>
      <c r="S9" s="86">
        <f>'MONTHLY P&amp;L'!S33</f>
        <v>-81904.884814692545</v>
      </c>
      <c r="T9" s="86">
        <f>'MONTHLY P&amp;L'!T33</f>
        <v>-82005.826140467339</v>
      </c>
      <c r="U9" s="86">
        <f>'MONTHLY P&amp;L'!U33</f>
        <v>-81743.014395197097</v>
      </c>
      <c r="V9" s="86">
        <f>'MONTHLY P&amp;L'!V33</f>
        <v>-81094.512531355023</v>
      </c>
      <c r="W9" s="86">
        <f>'MONTHLY P&amp;L'!W33</f>
        <v>-80037.227096189381</v>
      </c>
      <c r="X9" s="86">
        <f>'MONTHLY P&amp;L'!X33</f>
        <v>-78546.848773137375</v>
      </c>
      <c r="Y9" s="86">
        <f>'MONTHLY P&amp;L'!Y33</f>
        <v>-76597.789889346517</v>
      </c>
      <c r="Z9" s="86">
        <f>'MONTHLY P&amp;L'!Z33</f>
        <v>-74163.118735086828</v>
      </c>
      <c r="AA9" s="86">
        <f>'MONTHLY P&amp;L'!AA33</f>
        <v>-71214.490533012475</v>
      </c>
      <c r="AB9" s="86">
        <f>'MONTHLY P&amp;L'!AB33</f>
        <v>-608485.30578342732</v>
      </c>
    </row>
    <row r="10" spans="1:29" x14ac:dyDescent="0.3">
      <c r="B10" s="6" t="s">
        <v>186</v>
      </c>
      <c r="D10" s="86">
        <f>-('MONTHLY P&amp;L'!D29)</f>
        <v>312.5</v>
      </c>
      <c r="E10" s="86">
        <f>-('MONTHLY P&amp;L'!E29)</f>
        <v>627.9652477920572</v>
      </c>
      <c r="F10" s="86">
        <f>-('MONTHLY P&amp;L'!F29)</f>
        <v>946.42387999847017</v>
      </c>
      <c r="G10" s="86">
        <f>-('MONTHLY P&amp;L'!G29)</f>
        <v>1267.9043002241203</v>
      </c>
      <c r="H10" s="86">
        <f>-('MONTHLY P&amp;L'!H29)</f>
        <v>1592.4351815898144</v>
      </c>
      <c r="I10" s="86">
        <f>-('MONTHLY P&amp;L'!I29)</f>
        <v>1920.0454692896653</v>
      </c>
      <c r="J10" s="86">
        <f>-('MONTHLY P&amp;L'!J29)</f>
        <v>2250.7643831727396</v>
      </c>
      <c r="K10" s="86">
        <f>-('MONTHLY P&amp;L'!K29)</f>
        <v>2584.6214203492004</v>
      </c>
      <c r="L10" s="86">
        <f>-('MONTHLY P&amp;L'!L29)</f>
        <v>2921.6463578211819</v>
      </c>
      <c r="M10" s="86">
        <f>-('MONTHLY P&amp;L'!M29)</f>
        <v>3261.8692551386252</v>
      </c>
      <c r="N10" s="86">
        <f>-('MONTHLY P&amp;L'!N29)</f>
        <v>3605.3204570803186</v>
      </c>
      <c r="O10" s="86">
        <f>-('MONTHLY P&amp;L'!O29)</f>
        <v>3952.0305963603701</v>
      </c>
      <c r="P10" s="86">
        <f>-('MONTHLY P&amp;L'!P29)</f>
        <v>4302.0305963603705</v>
      </c>
      <c r="Q10" s="86">
        <f>-('MONTHLY P&amp;L'!Q29)</f>
        <v>4655.3516738874741</v>
      </c>
      <c r="R10" s="86">
        <f>-('MONTHLY P&amp;L'!R29)</f>
        <v>5012.0253419586579</v>
      </c>
      <c r="S10" s="86">
        <f>-('MONTHLY P&amp;L'!S29)</f>
        <v>5372.0834126113859</v>
      </c>
      <c r="T10" s="86">
        <f>-('MONTHLY P&amp;L'!T29)</f>
        <v>5735.5579997409632</v>
      </c>
      <c r="U10" s="86">
        <f>-('MONTHLY P&amp;L'!U29)</f>
        <v>6102.4815219647971</v>
      </c>
      <c r="V10" s="86">
        <f>-('MONTHLY P&amp;L'!V29)</f>
        <v>6472.8867055138398</v>
      </c>
      <c r="W10" s="86">
        <f>-('MONTHLY P&amp;L'!W29)</f>
        <v>6846.8065871514764</v>
      </c>
      <c r="X10" s="86">
        <f>-('MONTHLY P&amp;L'!X29)</f>
        <v>7224.2745171200959</v>
      </c>
      <c r="Y10" s="86">
        <f>-('MONTHLY P&amp;L'!Y29)</f>
        <v>7605.324162115634</v>
      </c>
      <c r="Z10" s="86">
        <f>-('MONTHLY P&amp;L'!Z29)</f>
        <v>7989.9895082903304</v>
      </c>
      <c r="AA10" s="86">
        <f>-('MONTHLY P&amp;L'!AA29)</f>
        <v>8378.3048642839876</v>
      </c>
      <c r="AB10" s="86">
        <f>-('MONTHLY P&amp;L'!AB29)</f>
        <v>154597.09004584601</v>
      </c>
    </row>
    <row r="11" spans="1:29" x14ac:dyDescent="0.3">
      <c r="B11" s="6" t="s">
        <v>187</v>
      </c>
      <c r="D11" s="86">
        <f>-('MONTHLY P&amp;L'!D7/30*ASSUMPTIONS!$C$73)</f>
        <v>-55100</v>
      </c>
      <c r="E11" s="86">
        <f>-(('MONTHLY P&amp;L'!E7/30*ASSUMPTIONS!$C$73)-('MONTHLY P&amp;L'!D7/30*ASSUMPTIONS!$C$73))</f>
        <v>-3040.2343812368199</v>
      </c>
      <c r="F11" s="86">
        <f>-(('MONTHLY P&amp;L'!F7/30*ASSUMPTIONS!$C$73)-('MONTHLY P&amp;L'!E7/30*ASSUMPTIONS!$C$73))</f>
        <v>-3200.046974247336</v>
      </c>
      <c r="G11" s="86">
        <f>-(('MONTHLY P&amp;L'!G7/30*ASSUMPTIONS!$C$73)-('MONTHLY P&amp;L'!F7/30*ASSUMPTIONS!$C$73))</f>
        <v>-3368.0456778327061</v>
      </c>
      <c r="H11" s="86">
        <f>-(('MONTHLY P&amp;L'!H7/30*ASSUMPTIONS!$C$73)-('MONTHLY P&amp;L'!G7/30*ASSUMPTIONS!$C$73))</f>
        <v>-3544.6438873967272</v>
      </c>
      <c r="I11" s="86">
        <f>-(('MONTHLY P&amp;L'!I7/30*ASSUMPTIONS!$C$73)-('MONTHLY P&amp;L'!H7/30*ASSUMPTIONS!$C$73))</f>
        <v>-3730.2757125001663</v>
      </c>
      <c r="J11" s="86">
        <f>-(('MONTHLY P&amp;L'!J7/30*ASSUMPTIONS!$C$73)-('MONTHLY P&amp;L'!I7/30*ASSUMPTIONS!$C$73))</f>
        <v>-3925.3970104627224</v>
      </c>
      <c r="K11" s="86">
        <f>-(('MONTHLY P&amp;L'!K7/30*ASSUMPTIONS!$C$73)-('MONTHLY P&amp;L'!J7/30*ASSUMPTIONS!$C$73))</f>
        <v>-4130.4864714273281</v>
      </c>
      <c r="L11" s="86">
        <f>-(('MONTHLY P&amp;L'!L7/30*ASSUMPTIONS!$C$73)-('MONTHLY P&amp;L'!K7/30*ASSUMPTIONS!$C$73))</f>
        <v>-4346.0467574461072</v>
      </c>
      <c r="M11" s="86">
        <f>-(('MONTHLY P&amp;L'!M7/30*ASSUMPTIONS!$C$73)-('MONTHLY P&amp;L'!L7/30*ASSUMPTIONS!$C$73))</f>
        <v>-4572.6056982748851</v>
      </c>
      <c r="N11" s="86">
        <f>-(('MONTHLY P&amp;L'!N7/30*ASSUMPTIONS!$C$73)-('MONTHLY P&amp;L'!M7/30*ASSUMPTIONS!$C$73))</f>
        <v>-4810.717546695756</v>
      </c>
      <c r="O11" s="86">
        <f>-(('MONTHLY P&amp;L'!O7/30*ASSUMPTIONS!$C$73)-('MONTHLY P&amp;L'!N7/30*ASSUMPTIONS!$C$73))</f>
        <v>-5060.9642963282968</v>
      </c>
      <c r="P11" s="86">
        <f>-(('MONTHLY P&amp;L'!P7/30*ASSUMPTIONS!$C$73)-('MONTHLY P&amp;L'!O7/30*ASSUMPTIONS!$C$73))</f>
        <v>-5323.9570650365349</v>
      </c>
      <c r="Q11" s="86">
        <f>-(('MONTHLY P&amp;L'!Q7/30*ASSUMPTIONS!$C$73)-('MONTHLY P&amp;L'!P7/30*ASSUMPTIONS!$C$73))</f>
        <v>-5600.337547193456</v>
      </c>
      <c r="R11" s="86">
        <f>-(('MONTHLY P&amp;L'!R7/30*ASSUMPTIONS!$C$73)-('MONTHLY P&amp;L'!Q7/30*ASSUMPTIONS!$C$73))</f>
        <v>-5890.7795382265613</v>
      </c>
      <c r="S11" s="86">
        <f>-(('MONTHLY P&amp;L'!S7/30*ASSUMPTIONS!$C$73)-('MONTHLY P&amp;L'!R7/30*ASSUMPTIONS!$C$73))</f>
        <v>-6195.9905350390618</v>
      </c>
      <c r="T11" s="86">
        <f>-(('MONTHLY P&amp;L'!T7/30*ASSUMPTIONS!$C$73)-('MONTHLY P&amp;L'!S7/30*ASSUMPTIONS!$C$73))</f>
        <v>-6516.7134160780988</v>
      </c>
      <c r="U11" s="86">
        <f>-(('MONTHLY P&amp;L'!U7/30*ASSUMPTIONS!$C$73)-('MONTHLY P&amp;L'!T7/30*ASSUMPTIONS!$C$73))</f>
        <v>-6853.7282050111535</v>
      </c>
      <c r="V11" s="86">
        <f>-(('MONTHLY P&amp;L'!V7/30*ASSUMPTIONS!$C$73)-('MONTHLY P&amp;L'!U7/30*ASSUMPTIONS!$C$73))</f>
        <v>-7207.8539221661922</v>
      </c>
      <c r="W11" s="86">
        <f>-(('MONTHLY P&amp;L'!W7/30*ASSUMPTIONS!$C$73)-('MONTHLY P&amp;L'!V7/30*ASSUMPTIONS!$C$73))</f>
        <v>-7579.9505280997546</v>
      </c>
      <c r="X11" s="86">
        <f>-(('MONTHLY P&amp;L'!X7/30*ASSUMPTIONS!$C$73)-('MONTHLY P&amp;L'!W7/30*ASSUMPTIONS!$C$73))</f>
        <v>-7970.9209638720495</v>
      </c>
      <c r="Y11" s="86">
        <f>-(('MONTHLY P&amp;L'!Y7/30*ASSUMPTIONS!$C$73)-('MONTHLY P&amp;L'!X7/30*ASSUMPTIONS!$C$73))</f>
        <v>-8381.7132928374922</v>
      </c>
      <c r="Z11" s="86">
        <f>-(('MONTHLY P&amp;L'!Z7/30*ASSUMPTIONS!$C$73)-('MONTHLY P&amp;L'!Y7/30*ASSUMPTIONS!$C$73))</f>
        <v>-8813.3229489961523</v>
      </c>
      <c r="AA11" s="86">
        <f>-(('MONTHLY P&amp;L'!AA7/30*ASSUMPTIONS!$C$73)-('MONTHLY P&amp;L'!Z7/30*ASSUMPTIONS!$C$73))</f>
        <v>-9266.7950972039544</v>
      </c>
      <c r="AB11" s="88">
        <f>-(('MONTHLY P&amp;L'!AB7/365*ASSUMPTIONS!$C$73)-('MONTHLY P&amp;L'!AA7/30*ASSUMPTIONS!$C$73))</f>
        <v>-74735.897534151067</v>
      </c>
    </row>
    <row r="12" spans="1:29" x14ac:dyDescent="0.3">
      <c r="B12" s="6" t="s">
        <v>188</v>
      </c>
      <c r="D12" s="86">
        <f>-((-'MONTHLY P&amp;L'!D8)/30*ASSUMPTIONS!$C$74)</f>
        <v>-64118.999999999993</v>
      </c>
      <c r="E12" s="86">
        <f>-(((-'MONTHLY P&amp;L'!E8)/30*ASSUMPTIONS!$C$74)-((-'MONTHLY P&amp;L'!D8)/30*ASSUMPTIONS!$C$74))</f>
        <v>-3388.710501009562</v>
      </c>
      <c r="F12" s="86">
        <f>-(((-'MONTHLY P&amp;L'!F8)/30*ASSUMPTIONS!$C$74)-((-'MONTHLY P&amp;L'!E8)/30*ASSUMPTIONS!$C$74))</f>
        <v>-3558.1581416943518</v>
      </c>
      <c r="G12" s="86">
        <f>-(((-'MONTHLY P&amp;L'!G8)/30*ASSUMPTIONS!$C$74)-((-'MONTHLY P&amp;L'!F8)/30*ASSUMPTIONS!$C$74))</f>
        <v>-3735.8411484521494</v>
      </c>
      <c r="H12" s="86">
        <f>-(((-'MONTHLY P&amp;L'!H8)/30*ASSUMPTIONS!$C$74)-((-'MONTHLY P&amp;L'!G8)/30*ASSUMPTIONS!$C$74))</f>
        <v>-3922.1537712434074</v>
      </c>
      <c r="I12" s="86">
        <f>-(((-'MONTHLY P&amp;L'!I8)/30*ASSUMPTIONS!$C$74)-((-'MONTHLY P&amp;L'!H8)/30*ASSUMPTIONS!$C$74))</f>
        <v>-4117.5089838721324</v>
      </c>
      <c r="J12" s="86">
        <f>-(((-'MONTHLY P&amp;L'!J8)/30*ASSUMPTIONS!$C$74)-((-'MONTHLY P&amp;L'!I8)/30*ASSUMPTIONS!$C$74))</f>
        <v>-4322.3393695737323</v>
      </c>
      <c r="K12" s="86">
        <f>-(((-'MONTHLY P&amp;L'!K8)/30*ASSUMPTIONS!$C$74)-((-'MONTHLY P&amp;L'!J8)/30*ASSUMPTIONS!$C$74))</f>
        <v>-4537.0980484022439</v>
      </c>
      <c r="L12" s="86">
        <f>-(((-'MONTHLY P&amp;L'!L8)/30*ASSUMPTIONS!$C$74)-((-'MONTHLY P&amp;L'!K8)/30*ASSUMPTIONS!$C$74))</f>
        <v>-4762.2596483865345</v>
      </c>
      <c r="M12" s="86">
        <f>-(((-'MONTHLY P&amp;L'!M8)/30*ASSUMPTIONS!$C$74)-((-'MONTHLY P&amp;L'!L8)/30*ASSUMPTIONS!$C$74))</f>
        <v>-4998.3213225209474</v>
      </c>
      <c r="N12" s="86">
        <f>-(((-'MONTHLY P&amp;L'!N8)/30*ASSUMPTIONS!$C$74)-((-'MONTHLY P&amp;L'!M8)/30*ASSUMPTIONS!$C$74))</f>
        <v>-5245.8038137491385</v>
      </c>
      <c r="O12" s="86">
        <f>-(((-'MONTHLY P&amp;L'!O8)/30*ASSUMPTIONS!$C$74)-((-'MONTHLY P&amp;L'!N8)/30*ASSUMPTIONS!$C$74))</f>
        <v>-5505.2525702053099</v>
      </c>
      <c r="P12" s="86">
        <f>-(((-'MONTHLY P&amp;L'!P8)/30*ASSUMPTIONS!$C$74)-((-'MONTHLY P&amp;L'!O8)/30*ASSUMPTIONS!$C$74))</f>
        <v>-5777.2389130811353</v>
      </c>
      <c r="Q12" s="86">
        <f>-(((-'MONTHLY P&amp;L'!Q8)/30*ASSUMPTIONS!$C$74)-((-'MONTHLY P&amp;L'!P8)/30*ASSUMPTIONS!$C$74))</f>
        <v>-6062.3612595996237</v>
      </c>
      <c r="R12" s="86">
        <f>-(((-'MONTHLY P&amp;L'!R8)/30*ASSUMPTIONS!$C$74)-((-'MONTHLY P&amp;L'!Q8)/30*ASSUMPTIONS!$C$74))</f>
        <v>-6361.2464036932943</v>
      </c>
      <c r="S12" s="86">
        <f>-(((-'MONTHLY P&amp;L'!S8)/30*ASSUMPTIONS!$C$74)-((-'MONTHLY P&amp;L'!R8)/30*ASSUMPTIONS!$C$74))</f>
        <v>-6674.5508571071696</v>
      </c>
      <c r="T12" s="86">
        <f>-(((-'MONTHLY P&amp;L'!T8)/30*ASSUMPTIONS!$C$74)-((-'MONTHLY P&amp;L'!S8)/30*ASSUMPTIONS!$C$74))</f>
        <v>-7002.9622537737014</v>
      </c>
      <c r="U12" s="86">
        <f>-(((-'MONTHLY P&amp;L'!U8)/30*ASSUMPTIONS!$C$74)-((-'MONTHLY P&amp;L'!T8)/30*ASSUMPTIONS!$C$74))</f>
        <v>-7347.2008204440936</v>
      </c>
      <c r="V12" s="86">
        <f>-(((-'MONTHLY P&amp;L'!V8)/30*ASSUMPTIONS!$C$74)-((-'MONTHLY P&amp;L'!U8)/30*ASSUMPTIONS!$C$74))</f>
        <v>-7708.0209166957648</v>
      </c>
      <c r="W12" s="86">
        <f>-(((-'MONTHLY P&amp;L'!W8)/30*ASSUMPTIONS!$C$74)-((-'MONTHLY P&amp;L'!V8)/30*ASSUMPTIONS!$C$74))</f>
        <v>-8086.2126475890109</v>
      </c>
      <c r="X12" s="86">
        <f>-(((-'MONTHLY P&amp;L'!X8)/30*ASSUMPTIONS!$C$74)-((-'MONTHLY P&amp;L'!W8)/30*ASSUMPTIONS!$C$74))</f>
        <v>-8482.6035523942846</v>
      </c>
      <c r="Y12" s="86">
        <f>-(((-'MONTHLY P&amp;L'!Y8)/30*ASSUMPTIONS!$C$74)-((-'MONTHLY P&amp;L'!X8)/30*ASSUMPTIONS!$C$74))</f>
        <v>-8898.060372977081</v>
      </c>
      <c r="Z12" s="86">
        <f>-(((-'MONTHLY P&amp;L'!Z8)/30*ASSUMPTIONS!$C$74)-((-'MONTHLY P&amp;L'!Y8)/30*ASSUMPTIONS!$C$74))</f>
        <v>-9333.4909055927419</v>
      </c>
      <c r="AA12" s="86">
        <f>-(((-'MONTHLY P&amp;L'!AA8)/30*ASSUMPTIONS!$C$74)-((-'MONTHLY P&amp;L'!Z8)/30*ASSUMPTIONS!$C$74))</f>
        <v>-9789.8459400240972</v>
      </c>
      <c r="AB12" s="88">
        <f>-(((-'MONTHLY P&amp;L'!AB8)/365*ASSUMPTIONS!$C$74)-((-'MONTHLY P&amp;L'!AA8)/30*ASSUMPTIONS!$C$74))</f>
        <v>-77944.954807318485</v>
      </c>
    </row>
    <row r="13" spans="1:29" x14ac:dyDescent="0.3">
      <c r="B13" s="6" t="s">
        <v>189</v>
      </c>
      <c r="D13" s="86">
        <f>(-'MONTHLY P&amp;L'!D8)/30*ASSUMPTIONS!$C$75</f>
        <v>42746</v>
      </c>
      <c r="E13" s="86">
        <f>((-'MONTHLY P&amp;L'!E8)/30*ASSUMPTIONS!$C$75)-((-'MONTHLY P&amp;L'!D8)/30*ASSUMPTIONS!$C$75)</f>
        <v>2259.1403340063698</v>
      </c>
      <c r="F13" s="86">
        <f>((-'MONTHLY P&amp;L'!F8)/30*ASSUMPTIONS!$C$75)-((-'MONTHLY P&amp;L'!E8)/30*ASSUMPTIONS!$C$75)</f>
        <v>2372.1054277962321</v>
      </c>
      <c r="G13" s="86">
        <f>((-'MONTHLY P&amp;L'!G8)/30*ASSUMPTIONS!$C$75)-((-'MONTHLY P&amp;L'!F8)/30*ASSUMPTIONS!$C$75)</f>
        <v>2490.5607656347711</v>
      </c>
      <c r="H13" s="86">
        <f>((-'MONTHLY P&amp;L'!H8)/30*ASSUMPTIONS!$C$75)-((-'MONTHLY P&amp;L'!G8)/30*ASSUMPTIONS!$C$75)</f>
        <v>2614.7691808289383</v>
      </c>
      <c r="I13" s="86">
        <f>((-'MONTHLY P&amp;L'!I8)/30*ASSUMPTIONS!$C$75)-((-'MONTHLY P&amp;L'!H8)/30*ASSUMPTIONS!$C$75)</f>
        <v>2745.0059892480785</v>
      </c>
      <c r="J13" s="86">
        <f>((-'MONTHLY P&amp;L'!J8)/30*ASSUMPTIONS!$C$75)-((-'MONTHLY P&amp;L'!I8)/30*ASSUMPTIONS!$C$75)</f>
        <v>2881.5595797158312</v>
      </c>
      <c r="K13" s="86">
        <f>((-'MONTHLY P&amp;L'!K8)/30*ASSUMPTIONS!$C$75)-((-'MONTHLY P&amp;L'!J8)/30*ASSUMPTIONS!$C$75)</f>
        <v>3024.7320322681626</v>
      </c>
      <c r="L13" s="86">
        <f>((-'MONTHLY P&amp;L'!L8)/30*ASSUMPTIONS!$C$75)-((-'MONTHLY P&amp;L'!K8)/30*ASSUMPTIONS!$C$75)</f>
        <v>3174.839765591023</v>
      </c>
      <c r="M13" s="86">
        <f>((-'MONTHLY P&amp;L'!M8)/30*ASSUMPTIONS!$C$75)-((-'MONTHLY P&amp;L'!L8)/30*ASSUMPTIONS!$C$75)</f>
        <v>3332.2142150139625</v>
      </c>
      <c r="N13" s="86">
        <f>((-'MONTHLY P&amp;L'!N8)/30*ASSUMPTIONS!$C$75)-((-'MONTHLY P&amp;L'!M8)/30*ASSUMPTIONS!$C$75)</f>
        <v>3497.2025424994354</v>
      </c>
      <c r="O13" s="86">
        <f>((-'MONTHLY P&amp;L'!O8)/30*ASSUMPTIONS!$C$75)-((-'MONTHLY P&amp;L'!N8)/30*ASSUMPTIONS!$C$75)</f>
        <v>3670.1683801368636</v>
      </c>
      <c r="P13" s="86">
        <f>((-'MONTHLY P&amp;L'!P8)/30*ASSUMPTIONS!$C$75)-((-'MONTHLY P&amp;L'!O8)/30*ASSUMPTIONS!$C$75)</f>
        <v>3851.4926087207568</v>
      </c>
      <c r="Q13" s="86">
        <f>((-'MONTHLY P&amp;L'!Q8)/30*ASSUMPTIONS!$C$75)-((-'MONTHLY P&amp;L'!P8)/30*ASSUMPTIONS!$C$75)</f>
        <v>4041.5741730664158</v>
      </c>
      <c r="R13" s="86">
        <f>((-'MONTHLY P&amp;L'!R8)/30*ASSUMPTIONS!$C$75)-((-'MONTHLY P&amp;L'!Q8)/30*ASSUMPTIONS!$C$75)</f>
        <v>4240.8309357955295</v>
      </c>
      <c r="S13" s="86">
        <f>((-'MONTHLY P&amp;L'!S8)/30*ASSUMPTIONS!$C$75)-((-'MONTHLY P&amp;L'!R8)/30*ASSUMPTIONS!$C$75)</f>
        <v>4449.70057140477</v>
      </c>
      <c r="T13" s="86">
        <f>((-'MONTHLY P&amp;L'!T8)/30*ASSUMPTIONS!$C$75)-((-'MONTHLY P&amp;L'!S8)/30*ASSUMPTIONS!$C$75)</f>
        <v>4668.6415025158058</v>
      </c>
      <c r="U13" s="86">
        <f>((-'MONTHLY P&amp;L'!U8)/30*ASSUMPTIONS!$C$75)-((-'MONTHLY P&amp;L'!T8)/30*ASSUMPTIONS!$C$75)</f>
        <v>4898.1338802960672</v>
      </c>
      <c r="V13" s="86">
        <f>((-'MONTHLY P&amp;L'!V8)/30*ASSUMPTIONS!$C$75)-((-'MONTHLY P&amp;L'!U8)/30*ASSUMPTIONS!$C$75)</f>
        <v>5138.6806111305195</v>
      </c>
      <c r="W13" s="86">
        <f>((-'MONTHLY P&amp;L'!W8)/30*ASSUMPTIONS!$C$75)-((-'MONTHLY P&amp;L'!V8)/30*ASSUMPTIONS!$C$75)</f>
        <v>5390.8084317259927</v>
      </c>
      <c r="X13" s="86">
        <f>((-'MONTHLY P&amp;L'!X8)/30*ASSUMPTIONS!$C$75)-((-'MONTHLY P&amp;L'!W8)/30*ASSUMPTIONS!$C$75)</f>
        <v>5655.0690349295328</v>
      </c>
      <c r="Y13" s="86">
        <f>((-'MONTHLY P&amp;L'!Y8)/30*ASSUMPTIONS!$C$75)-((-'MONTHLY P&amp;L'!X8)/30*ASSUMPTIONS!$C$75)</f>
        <v>5932.0402486513776</v>
      </c>
      <c r="Z13" s="86">
        <f>((-'MONTHLY P&amp;L'!Z8)/30*ASSUMPTIONS!$C$75)-((-'MONTHLY P&amp;L'!Y8)/30*ASSUMPTIONS!$C$75)</f>
        <v>6222.3272703951661</v>
      </c>
      <c r="AA13" s="86">
        <f>((-'MONTHLY P&amp;L'!AA8)/30*ASSUMPTIONS!$C$75)-((-'MONTHLY P&amp;L'!Z8)/30*ASSUMPTIONS!$C$75)</f>
        <v>6526.5639600160648</v>
      </c>
      <c r="AB13" s="88">
        <f>((-'MONTHLY P&amp;L'!AB8)/365*ASSUMPTIONS!$C$75)-((-'MONTHLY P&amp;L'!AA8)/30*ASSUMPTIONS!$C$75)</f>
        <v>51963.30320487899</v>
      </c>
    </row>
    <row r="14" spans="1:29" x14ac:dyDescent="0.3">
      <c r="B14" s="5" t="s">
        <v>190</v>
      </c>
      <c r="D14" s="87">
        <f>SUM(D9:D13)</f>
        <v>-124869</v>
      </c>
      <c r="E14" s="87">
        <f>SUM(E9:E13)</f>
        <v>-55809.64107532976</v>
      </c>
      <c r="F14" s="87">
        <f t="shared" ref="F14:AB14" si="1">SUM(F9:F13)</f>
        <v>-59125.992042436985</v>
      </c>
      <c r="G14" s="87">
        <f t="shared" si="1"/>
        <v>-62299.407899654412</v>
      </c>
      <c r="H14" s="87">
        <f t="shared" si="1"/>
        <v>-65319.803824498042</v>
      </c>
      <c r="I14" s="87">
        <f t="shared" si="1"/>
        <v>-68176.549803820933</v>
      </c>
      <c r="J14" s="87">
        <f t="shared" si="1"/>
        <v>-70858.44236740841</v>
      </c>
      <c r="K14" s="87">
        <f t="shared" si="1"/>
        <v>-73353.67487252978</v>
      </c>
      <c r="L14" s="87">
        <f t="shared" si="1"/>
        <v>-75649.806265535997</v>
      </c>
      <c r="M14" s="87">
        <f t="shared" si="1"/>
        <v>-77733.728242837853</v>
      </c>
      <c r="N14" s="87">
        <f t="shared" si="1"/>
        <v>-79591.630729647353</v>
      </c>
      <c r="O14" s="87">
        <f t="shared" si="1"/>
        <v>-81208.965590718974</v>
      </c>
      <c r="P14" s="87">
        <f t="shared" si="1"/>
        <v>-82570.40848296597</v>
      </c>
      <c r="Q14" s="87">
        <f t="shared" si="1"/>
        <v>-83659.818755248125</v>
      </c>
      <c r="R14" s="87">
        <f t="shared" si="1"/>
        <v>-84460.197295813763</v>
      </c>
      <c r="S14" s="87">
        <f t="shared" si="1"/>
        <v>-84953.642222822615</v>
      </c>
      <c r="T14" s="87">
        <f t="shared" si="1"/>
        <v>-85121.302308062368</v>
      </c>
      <c r="U14" s="87">
        <f t="shared" si="1"/>
        <v>-84943.328018391476</v>
      </c>
      <c r="V14" s="87">
        <f t="shared" si="1"/>
        <v>-84398.820053572621</v>
      </c>
      <c r="W14" s="87">
        <f t="shared" si="1"/>
        <v>-83465.775253000684</v>
      </c>
      <c r="X14" s="87">
        <f t="shared" si="1"/>
        <v>-82121.029737354082</v>
      </c>
      <c r="Y14" s="87">
        <f t="shared" si="1"/>
        <v>-80340.199144394079</v>
      </c>
      <c r="Z14" s="87">
        <f t="shared" si="1"/>
        <v>-78097.615810990232</v>
      </c>
      <c r="AA14" s="87">
        <f t="shared" si="1"/>
        <v>-75366.262745940476</v>
      </c>
      <c r="AB14" s="87">
        <f t="shared" si="1"/>
        <v>-554605.76487417193</v>
      </c>
    </row>
    <row r="16" spans="1:29" x14ac:dyDescent="0.3">
      <c r="B16" s="6" t="s">
        <v>191</v>
      </c>
      <c r="D16" s="86">
        <f>-('COST BUILD'!D25)</f>
        <v>-15000</v>
      </c>
      <c r="E16" s="86">
        <f>-('COST BUILD'!E25)</f>
        <v>-15142.331894018746</v>
      </c>
      <c r="F16" s="86">
        <f>-('COST BUILD'!F25)</f>
        <v>-15286.014345907823</v>
      </c>
      <c r="G16" s="86">
        <f>-('COST BUILD'!G25)</f>
        <v>-15431.060170831208</v>
      </c>
      <c r="H16" s="86">
        <f>-('COST BUILD'!H25)</f>
        <v>-15577.482305553316</v>
      </c>
      <c r="I16" s="86">
        <f>-('COST BUILD'!I25)</f>
        <v>-15725.293809592844</v>
      </c>
      <c r="J16" s="86">
        <f>-('COST BUILD'!J25)</f>
        <v>-15874.507866387554</v>
      </c>
      <c r="K16" s="86">
        <f>-('COST BUILD'!K25)</f>
        <v>-16025.137784470115</v>
      </c>
      <c r="L16" s="86">
        <f>-('COST BUILD'!L25)</f>
        <v>-16177.196998655112</v>
      </c>
      <c r="M16" s="86">
        <f>-('COST BUILD'!M25)</f>
        <v>-16330.699071237308</v>
      </c>
      <c r="N16" s="86">
        <f>-('COST BUILD'!N25)</f>
        <v>-16485.657693201269</v>
      </c>
      <c r="O16" s="86">
        <f>-('COST BUILD'!O25)</f>
        <v>-16642.086685442471</v>
      </c>
      <c r="P16" s="86">
        <f>-('COST BUILD'!P25)</f>
        <v>-16800.000000000015</v>
      </c>
      <c r="Q16" s="86">
        <f>-('COST BUILD'!Q25)</f>
        <v>-16959.41172130101</v>
      </c>
      <c r="R16" s="86">
        <f>-('COST BUILD'!R25)</f>
        <v>-17120.336067416778</v>
      </c>
      <c r="S16" s="86">
        <f>-('COST BUILD'!S25)</f>
        <v>-17282.78739133097</v>
      </c>
      <c r="T16" s="86">
        <f>-('COST BUILD'!T25)</f>
        <v>-17446.780182219733</v>
      </c>
      <c r="U16" s="86">
        <f>-('COST BUILD'!U25)</f>
        <v>-17612.329066744005</v>
      </c>
      <c r="V16" s="86">
        <f>-('COST BUILD'!V25)</f>
        <v>-17779.448810354075</v>
      </c>
      <c r="W16" s="86">
        <f>-('COST BUILD'!W25)</f>
        <v>-17948.154318606546</v>
      </c>
      <c r="X16" s="86">
        <f>-('COST BUILD'!X25)</f>
        <v>-18118.460638493747</v>
      </c>
      <c r="Y16" s="86">
        <f>-('COST BUILD'!Y25)</f>
        <v>-18290.382959785806</v>
      </c>
      <c r="Z16" s="86">
        <f>-('COST BUILD'!Z25)</f>
        <v>-18463.936616385439</v>
      </c>
      <c r="AA16" s="86">
        <f>-('COST BUILD'!AA25)</f>
        <v>-18639.137087695588</v>
      </c>
      <c r="AB16" s="86">
        <f>-('COST BUILD'!AB25)</f>
        <v>-237956.50464357497</v>
      </c>
    </row>
    <row r="17" spans="2:28" x14ac:dyDescent="0.3">
      <c r="B17" s="5" t="s">
        <v>192</v>
      </c>
      <c r="D17" s="87">
        <f>D16</f>
        <v>-15000</v>
      </c>
      <c r="E17" s="87">
        <f t="shared" ref="E17:AB17" si="2">E16</f>
        <v>-15142.331894018746</v>
      </c>
      <c r="F17" s="87">
        <f t="shared" si="2"/>
        <v>-15286.014345907823</v>
      </c>
      <c r="G17" s="87">
        <f t="shared" si="2"/>
        <v>-15431.060170831208</v>
      </c>
      <c r="H17" s="87">
        <f t="shared" si="2"/>
        <v>-15577.482305553316</v>
      </c>
      <c r="I17" s="87">
        <f t="shared" si="2"/>
        <v>-15725.293809592844</v>
      </c>
      <c r="J17" s="87">
        <f t="shared" si="2"/>
        <v>-15874.507866387554</v>
      </c>
      <c r="K17" s="87">
        <f t="shared" si="2"/>
        <v>-16025.137784470115</v>
      </c>
      <c r="L17" s="87">
        <f t="shared" si="2"/>
        <v>-16177.196998655112</v>
      </c>
      <c r="M17" s="87">
        <f t="shared" si="2"/>
        <v>-16330.699071237308</v>
      </c>
      <c r="N17" s="87">
        <f t="shared" si="2"/>
        <v>-16485.657693201269</v>
      </c>
      <c r="O17" s="87">
        <f t="shared" si="2"/>
        <v>-16642.086685442471</v>
      </c>
      <c r="P17" s="87">
        <f t="shared" si="2"/>
        <v>-16800.000000000015</v>
      </c>
      <c r="Q17" s="87">
        <f t="shared" si="2"/>
        <v>-16959.41172130101</v>
      </c>
      <c r="R17" s="87">
        <f t="shared" si="2"/>
        <v>-17120.336067416778</v>
      </c>
      <c r="S17" s="87">
        <f t="shared" si="2"/>
        <v>-17282.78739133097</v>
      </c>
      <c r="T17" s="87">
        <f t="shared" si="2"/>
        <v>-17446.780182219733</v>
      </c>
      <c r="U17" s="87">
        <f t="shared" si="2"/>
        <v>-17612.329066744005</v>
      </c>
      <c r="V17" s="87">
        <f t="shared" si="2"/>
        <v>-17779.448810354075</v>
      </c>
      <c r="W17" s="87">
        <f t="shared" si="2"/>
        <v>-17948.154318606546</v>
      </c>
      <c r="X17" s="87">
        <f t="shared" si="2"/>
        <v>-18118.460638493747</v>
      </c>
      <c r="Y17" s="87">
        <f t="shared" si="2"/>
        <v>-18290.382959785806</v>
      </c>
      <c r="Z17" s="87">
        <f t="shared" si="2"/>
        <v>-18463.936616385439</v>
      </c>
      <c r="AA17" s="87">
        <f t="shared" si="2"/>
        <v>-18639.137087695588</v>
      </c>
      <c r="AB17" s="87">
        <f t="shared" si="2"/>
        <v>-237956.50464357497</v>
      </c>
    </row>
    <row r="19" spans="2:28" x14ac:dyDescent="0.3">
      <c r="B19" s="6" t="s">
        <v>193</v>
      </c>
      <c r="D19" s="86">
        <f>ASSUMPTIONS!C30</f>
        <v>2000000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88">
        <v>0</v>
      </c>
    </row>
    <row r="20" spans="2:28" x14ac:dyDescent="0.3">
      <c r="B20" s="5" t="s">
        <v>194</v>
      </c>
      <c r="D20" s="87">
        <f>D19</f>
        <v>2000000</v>
      </c>
      <c r="E20" s="87">
        <f>E19</f>
        <v>0</v>
      </c>
      <c r="F20" s="87">
        <f t="shared" ref="F20:AB20" si="3">F19</f>
        <v>0</v>
      </c>
      <c r="G20" s="87">
        <f t="shared" si="3"/>
        <v>0</v>
      </c>
      <c r="H20" s="87">
        <f t="shared" si="3"/>
        <v>0</v>
      </c>
      <c r="I20" s="87">
        <f t="shared" si="3"/>
        <v>0</v>
      </c>
      <c r="J20" s="87">
        <f t="shared" si="3"/>
        <v>0</v>
      </c>
      <c r="K20" s="87">
        <f t="shared" si="3"/>
        <v>0</v>
      </c>
      <c r="L20" s="87">
        <f t="shared" si="3"/>
        <v>0</v>
      </c>
      <c r="M20" s="87">
        <f t="shared" si="3"/>
        <v>0</v>
      </c>
      <c r="N20" s="87">
        <f t="shared" si="3"/>
        <v>0</v>
      </c>
      <c r="O20" s="87">
        <f t="shared" si="3"/>
        <v>0</v>
      </c>
      <c r="P20" s="87">
        <f t="shared" si="3"/>
        <v>0</v>
      </c>
      <c r="Q20" s="87">
        <f t="shared" si="3"/>
        <v>0</v>
      </c>
      <c r="R20" s="87">
        <f t="shared" si="3"/>
        <v>0</v>
      </c>
      <c r="S20" s="87">
        <f t="shared" si="3"/>
        <v>0</v>
      </c>
      <c r="T20" s="87">
        <f t="shared" si="3"/>
        <v>0</v>
      </c>
      <c r="U20" s="87">
        <f t="shared" si="3"/>
        <v>0</v>
      </c>
      <c r="V20" s="87">
        <f t="shared" si="3"/>
        <v>0</v>
      </c>
      <c r="W20" s="87">
        <f t="shared" si="3"/>
        <v>0</v>
      </c>
      <c r="X20" s="87">
        <f t="shared" si="3"/>
        <v>0</v>
      </c>
      <c r="Y20" s="87">
        <f t="shared" si="3"/>
        <v>0</v>
      </c>
      <c r="Z20" s="87">
        <f t="shared" si="3"/>
        <v>0</v>
      </c>
      <c r="AA20" s="87">
        <f t="shared" si="3"/>
        <v>0</v>
      </c>
      <c r="AB20" s="87">
        <f t="shared" si="3"/>
        <v>0</v>
      </c>
    </row>
    <row r="22" spans="2:28" x14ac:dyDescent="0.3">
      <c r="B22" s="5" t="s">
        <v>195</v>
      </c>
      <c r="D22" s="87">
        <f>D14+D17+D20</f>
        <v>1860131</v>
      </c>
      <c r="E22" s="87">
        <f>E14+E17+E20</f>
        <v>-70951.972969348513</v>
      </c>
      <c r="F22" s="87">
        <f t="shared" ref="F22:AB22" si="4">F14+F17+F20</f>
        <v>-74412.006388344802</v>
      </c>
      <c r="G22" s="87">
        <f t="shared" si="4"/>
        <v>-77730.468070485615</v>
      </c>
      <c r="H22" s="87">
        <f t="shared" si="4"/>
        <v>-80897.286130051361</v>
      </c>
      <c r="I22" s="87">
        <f t="shared" si="4"/>
        <v>-83901.843613413774</v>
      </c>
      <c r="J22" s="87">
        <f t="shared" si="4"/>
        <v>-86732.950233795971</v>
      </c>
      <c r="K22" s="87">
        <f t="shared" si="4"/>
        <v>-89378.8126569999</v>
      </c>
      <c r="L22" s="87">
        <f t="shared" si="4"/>
        <v>-91827.003264191109</v>
      </c>
      <c r="M22" s="87">
        <f t="shared" si="4"/>
        <v>-94064.427314075161</v>
      </c>
      <c r="N22" s="87">
        <f t="shared" si="4"/>
        <v>-96077.288422848622</v>
      </c>
      <c r="O22" s="87">
        <f t="shared" si="4"/>
        <v>-97851.052276161441</v>
      </c>
      <c r="P22" s="87">
        <f t="shared" si="4"/>
        <v>-99370.408482965984</v>
      </c>
      <c r="Q22" s="87">
        <f t="shared" si="4"/>
        <v>-100619.23047654913</v>
      </c>
      <c r="R22" s="87">
        <f t="shared" si="4"/>
        <v>-101580.53336323054</v>
      </c>
      <c r="S22" s="87">
        <f t="shared" si="4"/>
        <v>-102236.42961415359</v>
      </c>
      <c r="T22" s="87">
        <f t="shared" si="4"/>
        <v>-102568.0824902821</v>
      </c>
      <c r="U22" s="87">
        <f t="shared" si="4"/>
        <v>-102555.65708513548</v>
      </c>
      <c r="V22" s="87">
        <f t="shared" si="4"/>
        <v>-102178.2688639267</v>
      </c>
      <c r="W22" s="87">
        <f t="shared" si="4"/>
        <v>-101413.92957160724</v>
      </c>
      <c r="X22" s="87">
        <f t="shared" si="4"/>
        <v>-100239.49037584783</v>
      </c>
      <c r="Y22" s="87">
        <f t="shared" si="4"/>
        <v>-98630.582104179892</v>
      </c>
      <c r="Z22" s="87">
        <f t="shared" si="4"/>
        <v>-96561.552427375675</v>
      </c>
      <c r="AA22" s="87">
        <f t="shared" si="4"/>
        <v>-94005.399833636067</v>
      </c>
      <c r="AB22" s="87">
        <f t="shared" si="4"/>
        <v>-792562.26951774687</v>
      </c>
    </row>
    <row r="23" spans="2:28" x14ac:dyDescent="0.3">
      <c r="B23" s="6" t="s">
        <v>231</v>
      </c>
      <c r="D23" s="38">
        <f>C24</f>
        <v>0</v>
      </c>
      <c r="E23" s="38">
        <f>D24</f>
        <v>1860131</v>
      </c>
      <c r="F23" s="38">
        <f t="shared" ref="F23:AB23" si="5">E24</f>
        <v>1789179.0270306515</v>
      </c>
      <c r="G23" s="38">
        <f t="shared" si="5"/>
        <v>1714767.0206423067</v>
      </c>
      <c r="H23" s="38">
        <f t="shared" si="5"/>
        <v>1637036.552571821</v>
      </c>
      <c r="I23" s="38">
        <f t="shared" si="5"/>
        <v>1556139.2664417697</v>
      </c>
      <c r="J23" s="38">
        <f t="shared" si="5"/>
        <v>1472237.4228283558</v>
      </c>
      <c r="K23" s="38">
        <f t="shared" si="5"/>
        <v>1385504.4725945599</v>
      </c>
      <c r="L23" s="38">
        <f t="shared" si="5"/>
        <v>1296125.6599375601</v>
      </c>
      <c r="M23" s="38">
        <f t="shared" si="5"/>
        <v>1204298.656673369</v>
      </c>
      <c r="N23" s="38">
        <f t="shared" si="5"/>
        <v>1110234.2293592938</v>
      </c>
      <c r="O23" s="38">
        <f t="shared" si="5"/>
        <v>1014156.9409364453</v>
      </c>
      <c r="P23" s="38">
        <f t="shared" si="5"/>
        <v>916305.88866028376</v>
      </c>
      <c r="Q23" s="38">
        <f t="shared" si="5"/>
        <v>816935.48017731775</v>
      </c>
      <c r="R23" s="38">
        <f t="shared" si="5"/>
        <v>716316.24970076862</v>
      </c>
      <c r="S23" s="38">
        <f t="shared" si="5"/>
        <v>614735.71633753809</v>
      </c>
      <c r="T23" s="38">
        <f t="shared" si="5"/>
        <v>512499.28672338452</v>
      </c>
      <c r="U23" s="38">
        <f t="shared" si="5"/>
        <v>409931.20423310238</v>
      </c>
      <c r="V23" s="38">
        <f t="shared" si="5"/>
        <v>307375.54714796692</v>
      </c>
      <c r="W23" s="38">
        <f t="shared" si="5"/>
        <v>205197.27828404022</v>
      </c>
      <c r="X23" s="38">
        <f t="shared" si="5"/>
        <v>103783.34871243298</v>
      </c>
      <c r="Y23" s="38">
        <f t="shared" si="5"/>
        <v>3543.8583365851518</v>
      </c>
      <c r="Z23" s="38">
        <f t="shared" si="5"/>
        <v>-95086.72376759474</v>
      </c>
      <c r="AA23" s="38">
        <f t="shared" si="5"/>
        <v>-191648.27619497041</v>
      </c>
      <c r="AB23" s="88">
        <f t="shared" si="5"/>
        <v>-285653.67602860648</v>
      </c>
    </row>
    <row r="24" spans="2:28" x14ac:dyDescent="0.3">
      <c r="B24" s="5" t="s">
        <v>230</v>
      </c>
      <c r="D24" s="87">
        <f>SUM(D22:D23)</f>
        <v>1860131</v>
      </c>
      <c r="E24" s="87">
        <f>SUM(E22:E23)</f>
        <v>1789179.0270306515</v>
      </c>
      <c r="F24" s="87">
        <f t="shared" ref="F24:AB24" si="6">SUM(F22:F23)</f>
        <v>1714767.0206423067</v>
      </c>
      <c r="G24" s="87">
        <f t="shared" si="6"/>
        <v>1637036.552571821</v>
      </c>
      <c r="H24" s="87">
        <f t="shared" si="6"/>
        <v>1556139.2664417697</v>
      </c>
      <c r="I24" s="87">
        <f t="shared" si="6"/>
        <v>1472237.4228283558</v>
      </c>
      <c r="J24" s="87">
        <f t="shared" si="6"/>
        <v>1385504.4725945599</v>
      </c>
      <c r="K24" s="87">
        <f t="shared" si="6"/>
        <v>1296125.6599375601</v>
      </c>
      <c r="L24" s="87">
        <f t="shared" si="6"/>
        <v>1204298.656673369</v>
      </c>
      <c r="M24" s="87">
        <f t="shared" si="6"/>
        <v>1110234.2293592938</v>
      </c>
      <c r="N24" s="87">
        <f t="shared" si="6"/>
        <v>1014156.9409364453</v>
      </c>
      <c r="O24" s="87">
        <f t="shared" si="6"/>
        <v>916305.88866028376</v>
      </c>
      <c r="P24" s="87">
        <f t="shared" si="6"/>
        <v>816935.48017731775</v>
      </c>
      <c r="Q24" s="87">
        <f t="shared" si="6"/>
        <v>716316.24970076862</v>
      </c>
      <c r="R24" s="87">
        <f t="shared" si="6"/>
        <v>614735.71633753809</v>
      </c>
      <c r="S24" s="87">
        <f t="shared" si="6"/>
        <v>512499.28672338452</v>
      </c>
      <c r="T24" s="87">
        <f t="shared" si="6"/>
        <v>409931.20423310238</v>
      </c>
      <c r="U24" s="87">
        <f t="shared" si="6"/>
        <v>307375.54714796692</v>
      </c>
      <c r="V24" s="87">
        <f t="shared" si="6"/>
        <v>205197.27828404022</v>
      </c>
      <c r="W24" s="87">
        <f t="shared" si="6"/>
        <v>103783.34871243298</v>
      </c>
      <c r="X24" s="87">
        <f t="shared" si="6"/>
        <v>3543.8583365851518</v>
      </c>
      <c r="Y24" s="87">
        <f t="shared" si="6"/>
        <v>-95086.72376759474</v>
      </c>
      <c r="Z24" s="87">
        <f t="shared" si="6"/>
        <v>-191648.27619497041</v>
      </c>
      <c r="AA24" s="87">
        <f t="shared" si="6"/>
        <v>-285653.67602860648</v>
      </c>
      <c r="AB24" s="87">
        <f t="shared" si="6"/>
        <v>-1078215.9455463532</v>
      </c>
    </row>
    <row r="26" spans="2:28" x14ac:dyDescent="0.3">
      <c r="B26" s="117" t="s">
        <v>210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</row>
    <row r="27" spans="2:28" x14ac:dyDescent="0.3">
      <c r="B27" s="91" t="s">
        <v>196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2:28" x14ac:dyDescent="0.3">
      <c r="B28" s="92" t="s">
        <v>197</v>
      </c>
      <c r="C28"/>
      <c r="D28" s="39">
        <f>D24</f>
        <v>1860131</v>
      </c>
      <c r="E28" s="39">
        <f t="shared" ref="E28:AB28" si="7">E24</f>
        <v>1789179.0270306515</v>
      </c>
      <c r="F28" s="39">
        <f t="shared" si="7"/>
        <v>1714767.0206423067</v>
      </c>
      <c r="G28" s="39">
        <f t="shared" si="7"/>
        <v>1637036.552571821</v>
      </c>
      <c r="H28" s="39">
        <f t="shared" si="7"/>
        <v>1556139.2664417697</v>
      </c>
      <c r="I28" s="39">
        <f t="shared" si="7"/>
        <v>1472237.4228283558</v>
      </c>
      <c r="J28" s="39">
        <f t="shared" si="7"/>
        <v>1385504.4725945599</v>
      </c>
      <c r="K28" s="39">
        <f t="shared" si="7"/>
        <v>1296125.6599375601</v>
      </c>
      <c r="L28" s="39">
        <f t="shared" si="7"/>
        <v>1204298.656673369</v>
      </c>
      <c r="M28" s="39">
        <f t="shared" si="7"/>
        <v>1110234.2293592938</v>
      </c>
      <c r="N28" s="39">
        <f t="shared" si="7"/>
        <v>1014156.9409364453</v>
      </c>
      <c r="O28" s="39">
        <f t="shared" si="7"/>
        <v>916305.88866028376</v>
      </c>
      <c r="P28" s="39">
        <f t="shared" si="7"/>
        <v>816935.48017731775</v>
      </c>
      <c r="Q28" s="39">
        <f t="shared" si="7"/>
        <v>716316.24970076862</v>
      </c>
      <c r="R28" s="39">
        <f t="shared" si="7"/>
        <v>614735.71633753809</v>
      </c>
      <c r="S28" s="39">
        <f t="shared" si="7"/>
        <v>512499.28672338452</v>
      </c>
      <c r="T28" s="39">
        <f t="shared" si="7"/>
        <v>409931.20423310238</v>
      </c>
      <c r="U28" s="39">
        <f t="shared" si="7"/>
        <v>307375.54714796692</v>
      </c>
      <c r="V28" s="39">
        <f t="shared" si="7"/>
        <v>205197.27828404022</v>
      </c>
      <c r="W28" s="39">
        <f t="shared" si="7"/>
        <v>103783.34871243298</v>
      </c>
      <c r="X28" s="39">
        <f t="shared" si="7"/>
        <v>3543.8583365851518</v>
      </c>
      <c r="Y28" s="39">
        <f t="shared" si="7"/>
        <v>-95086.72376759474</v>
      </c>
      <c r="Z28" s="39">
        <f t="shared" si="7"/>
        <v>-191648.27619497041</v>
      </c>
      <c r="AA28" s="39">
        <f t="shared" si="7"/>
        <v>-285653.67602860648</v>
      </c>
      <c r="AB28" s="39">
        <f t="shared" si="7"/>
        <v>-1078215.9455463532</v>
      </c>
    </row>
    <row r="29" spans="2:28" x14ac:dyDescent="0.3">
      <c r="B29" s="92" t="s">
        <v>198</v>
      </c>
      <c r="C29"/>
      <c r="D29" s="86">
        <f>('MONTHLY P&amp;L'!D7/30*ASSUMPTIONS!$C$73)</f>
        <v>55100</v>
      </c>
      <c r="E29" s="86">
        <f>('MONTHLY P&amp;L'!E7/30*ASSUMPTIONS!$C$73)</f>
        <v>58140.23438123682</v>
      </c>
      <c r="F29" s="86">
        <f>('MONTHLY P&amp;L'!F7/30*ASSUMPTIONS!$C$73)</f>
        <v>61340.281355484156</v>
      </c>
      <c r="G29" s="86">
        <f>('MONTHLY P&amp;L'!G7/30*ASSUMPTIONS!$C$73)</f>
        <v>64708.327033316862</v>
      </c>
      <c r="H29" s="86">
        <f>('MONTHLY P&amp;L'!H7/30*ASSUMPTIONS!$C$73)</f>
        <v>68252.970920713589</v>
      </c>
      <c r="I29" s="86">
        <f>('MONTHLY P&amp;L'!I7/30*ASSUMPTIONS!$C$73)</f>
        <v>71983.246633213756</v>
      </c>
      <c r="J29" s="86">
        <f>('MONTHLY P&amp;L'!J7/30*ASSUMPTIONS!$C$73)</f>
        <v>75908.643643676478</v>
      </c>
      <c r="K29" s="86">
        <f>('MONTHLY P&amp;L'!K7/30*ASSUMPTIONS!$C$73)</f>
        <v>80039.130115103806</v>
      </c>
      <c r="L29" s="86">
        <f>('MONTHLY P&amp;L'!L7/30*ASSUMPTIONS!$C$73)</f>
        <v>84385.176872549913</v>
      </c>
      <c r="M29" s="86">
        <f>('MONTHLY P&amp;L'!M7/30*ASSUMPTIONS!$C$73)</f>
        <v>88957.782570824798</v>
      </c>
      <c r="N29" s="86">
        <f>('MONTHLY P&amp;L'!N7/30*ASSUMPTIONS!$C$73)</f>
        <v>93768.500117520554</v>
      </c>
      <c r="O29" s="86">
        <f>('MONTHLY P&amp;L'!O7/30*ASSUMPTIONS!$C$73)</f>
        <v>98829.464413848851</v>
      </c>
      <c r="P29" s="86">
        <f>('MONTHLY P&amp;L'!P7/30*ASSUMPTIONS!$C$73)</f>
        <v>104153.42147888539</v>
      </c>
      <c r="Q29" s="86">
        <f>('MONTHLY P&amp;L'!Q7/30*ASSUMPTIONS!$C$73)</f>
        <v>109753.75902607884</v>
      </c>
      <c r="R29" s="86">
        <f>('MONTHLY P&amp;L'!R7/30*ASSUMPTIONS!$C$73)</f>
        <v>115644.5385643054</v>
      </c>
      <c r="S29" s="86">
        <f>('MONTHLY P&amp;L'!S7/30*ASSUMPTIONS!$C$73)</f>
        <v>121840.52909934447</v>
      </c>
      <c r="T29" s="86">
        <f>('MONTHLY P&amp;L'!T7/30*ASSUMPTIONS!$C$73)</f>
        <v>128357.24251542256</v>
      </c>
      <c r="U29" s="86">
        <f>('MONTHLY P&amp;L'!U7/30*ASSUMPTIONS!$C$73)</f>
        <v>135210.97072043372</v>
      </c>
      <c r="V29" s="86">
        <f>('MONTHLY P&amp;L'!V7/30*ASSUMPTIONS!$C$73)</f>
        <v>142418.82464259991</v>
      </c>
      <c r="W29" s="86">
        <f>('MONTHLY P&amp;L'!W7/30*ASSUMPTIONS!$C$73)</f>
        <v>149998.77517069966</v>
      </c>
      <c r="X29" s="86">
        <f>('MONTHLY P&amp;L'!X7/30*ASSUMPTIONS!$C$73)</f>
        <v>157969.69613457171</v>
      </c>
      <c r="Y29" s="86">
        <f>('MONTHLY P&amp;L'!Y7/30*ASSUMPTIONS!$C$73)</f>
        <v>166351.40942740921</v>
      </c>
      <c r="Z29" s="86">
        <f>('MONTHLY P&amp;L'!Z7/30*ASSUMPTIONS!$C$73)</f>
        <v>175164.73237640536</v>
      </c>
      <c r="AA29" s="86">
        <f>('MONTHLY P&amp;L'!AA7/30*ASSUMPTIONS!$C$73)</f>
        <v>184431.52747360931</v>
      </c>
      <c r="AB29" s="86">
        <f>('MONTHLY P&amp;L'!AB7/365*ASSUMPTIONS!$C$73)</f>
        <v>259167.42500776038</v>
      </c>
    </row>
    <row r="30" spans="2:28" x14ac:dyDescent="0.3">
      <c r="B30" s="92" t="s">
        <v>199</v>
      </c>
      <c r="C30"/>
      <c r="D30" s="86">
        <f>((-'MONTHLY P&amp;L'!D8)/30*ASSUMPTIONS!$C$74)</f>
        <v>64118.999999999993</v>
      </c>
      <c r="E30" s="86">
        <f>((-'MONTHLY P&amp;L'!E8)/30*ASSUMPTIONS!$C$74)</f>
        <v>67507.710501009555</v>
      </c>
      <c r="F30" s="86">
        <f>((-'MONTHLY P&amp;L'!F8)/30*ASSUMPTIONS!$C$74)</f>
        <v>71065.868642703907</v>
      </c>
      <c r="G30" s="86">
        <f>((-'MONTHLY P&amp;L'!G8)/30*ASSUMPTIONS!$C$74)</f>
        <v>74801.709791156056</v>
      </c>
      <c r="H30" s="86">
        <f>((-'MONTHLY P&amp;L'!H8)/30*ASSUMPTIONS!$C$74)</f>
        <v>78723.863562399463</v>
      </c>
      <c r="I30" s="86">
        <f>((-'MONTHLY P&amp;L'!I8)/30*ASSUMPTIONS!$C$74)</f>
        <v>82841.372546271596</v>
      </c>
      <c r="J30" s="86">
        <f>((-'MONTHLY P&amp;L'!J8)/30*ASSUMPTIONS!$C$74)</f>
        <v>87163.711915845328</v>
      </c>
      <c r="K30" s="86">
        <f>((-'MONTHLY P&amp;L'!K8)/30*ASSUMPTIONS!$C$74)</f>
        <v>91700.809964247572</v>
      </c>
      <c r="L30" s="86">
        <f>((-'MONTHLY P&amp;L'!L8)/30*ASSUMPTIONS!$C$74)</f>
        <v>96463.069612634106</v>
      </c>
      <c r="M30" s="86">
        <f>((-'MONTHLY P&amp;L'!M8)/30*ASSUMPTIONS!$C$74)</f>
        <v>101461.39093515505</v>
      </c>
      <c r="N30" s="86">
        <f>((-'MONTHLY P&amp;L'!N8)/30*ASSUMPTIONS!$C$74)</f>
        <v>106707.19474890419</v>
      </c>
      <c r="O30" s="86">
        <f>((-'MONTHLY P&amp;L'!O8)/30*ASSUMPTIONS!$C$74)</f>
        <v>112212.4473191095</v>
      </c>
      <c r="P30" s="86">
        <f>((-'MONTHLY P&amp;L'!P8)/30*ASSUMPTIONS!$C$74)</f>
        <v>117989.68623219064</v>
      </c>
      <c r="Q30" s="86">
        <f>((-'MONTHLY P&amp;L'!Q8)/30*ASSUMPTIONS!$C$74)</f>
        <v>124052.04749179026</v>
      </c>
      <c r="R30" s="86">
        <f>((-'MONTHLY P&amp;L'!R8)/30*ASSUMPTIONS!$C$74)</f>
        <v>130413.29389548356</v>
      </c>
      <c r="S30" s="86">
        <f>((-'MONTHLY P&amp;L'!S8)/30*ASSUMPTIONS!$C$74)</f>
        <v>137087.84475259072</v>
      </c>
      <c r="T30" s="86">
        <f>((-'MONTHLY P&amp;L'!T8)/30*ASSUMPTIONS!$C$74)</f>
        <v>144090.80700636443</v>
      </c>
      <c r="U30" s="86">
        <f>((-'MONTHLY P&amp;L'!U8)/30*ASSUMPTIONS!$C$74)</f>
        <v>151438.00782680852</v>
      </c>
      <c r="V30" s="86">
        <f>((-'MONTHLY P&amp;L'!V8)/30*ASSUMPTIONS!$C$74)</f>
        <v>159146.02874350428</v>
      </c>
      <c r="W30" s="86">
        <f>((-'MONTHLY P&amp;L'!W8)/30*ASSUMPTIONS!$C$74)</f>
        <v>167232.2413910933</v>
      </c>
      <c r="X30" s="86">
        <f>((-'MONTHLY P&amp;L'!X8)/30*ASSUMPTIONS!$C$74)</f>
        <v>175714.84494348758</v>
      </c>
      <c r="Y30" s="86">
        <f>((-'MONTHLY P&amp;L'!Y8)/30*ASSUMPTIONS!$C$74)</f>
        <v>184612.90531646466</v>
      </c>
      <c r="Z30" s="86">
        <f>((-'MONTHLY P&amp;L'!Z8)/30*ASSUMPTIONS!$C$74)</f>
        <v>193946.3962220574</v>
      </c>
      <c r="AA30" s="86">
        <f>((-'MONTHLY P&amp;L'!AA8)/30*ASSUMPTIONS!$C$74)</f>
        <v>203736.2421620815</v>
      </c>
      <c r="AB30" s="86">
        <f>((-'MONTHLY P&amp;L'!AB8)/365*ASSUMPTIONS!$C$74)</f>
        <v>281681.19696939999</v>
      </c>
    </row>
    <row r="31" spans="2:28" x14ac:dyDescent="0.3">
      <c r="B31" s="93" t="s">
        <v>200</v>
      </c>
      <c r="C31"/>
      <c r="D31" s="87">
        <f>SUM(D28:D30)</f>
        <v>1979350</v>
      </c>
      <c r="E31" s="87">
        <f t="shared" ref="E31:AB31" si="8">SUM(E28:E30)</f>
        <v>1914826.9719128979</v>
      </c>
      <c r="F31" s="87">
        <f t="shared" si="8"/>
        <v>1847173.1706404947</v>
      </c>
      <c r="G31" s="87">
        <f t="shared" si="8"/>
        <v>1776546.589396294</v>
      </c>
      <c r="H31" s="87">
        <f t="shared" si="8"/>
        <v>1703116.1009248828</v>
      </c>
      <c r="I31" s="87">
        <f t="shared" si="8"/>
        <v>1627062.0420078412</v>
      </c>
      <c r="J31" s="87">
        <f t="shared" si="8"/>
        <v>1548576.8281540817</v>
      </c>
      <c r="K31" s="87">
        <f t="shared" si="8"/>
        <v>1467865.6000169115</v>
      </c>
      <c r="L31" s="87">
        <f t="shared" si="8"/>
        <v>1385146.9031585529</v>
      </c>
      <c r="M31" s="87">
        <f t="shared" si="8"/>
        <v>1300653.4028652736</v>
      </c>
      <c r="N31" s="87">
        <f t="shared" si="8"/>
        <v>1214632.6358028699</v>
      </c>
      <c r="O31" s="87">
        <f t="shared" si="8"/>
        <v>1127347.8003932422</v>
      </c>
      <c r="P31" s="87">
        <f t="shared" si="8"/>
        <v>1039078.5878883938</v>
      </c>
      <c r="Q31" s="87">
        <f t="shared" si="8"/>
        <v>950122.05621863774</v>
      </c>
      <c r="R31" s="87">
        <f t="shared" si="8"/>
        <v>860793.54879732709</v>
      </c>
      <c r="S31" s="87">
        <f t="shared" si="8"/>
        <v>771427.66057531978</v>
      </c>
      <c r="T31" s="87">
        <f t="shared" si="8"/>
        <v>682379.25375488936</v>
      </c>
      <c r="U31" s="87">
        <f t="shared" si="8"/>
        <v>594024.52569520916</v>
      </c>
      <c r="V31" s="87">
        <f t="shared" si="8"/>
        <v>506762.13167014439</v>
      </c>
      <c r="W31" s="87">
        <f t="shared" si="8"/>
        <v>421014.36527422594</v>
      </c>
      <c r="X31" s="87">
        <f t="shared" si="8"/>
        <v>337228.39941464446</v>
      </c>
      <c r="Y31" s="87">
        <f t="shared" si="8"/>
        <v>255877.59097627911</v>
      </c>
      <c r="Z31" s="87">
        <f t="shared" si="8"/>
        <v>177462.85240349235</v>
      </c>
      <c r="AA31" s="87">
        <f t="shared" si="8"/>
        <v>102514.09360708433</v>
      </c>
      <c r="AB31" s="87">
        <f t="shared" si="8"/>
        <v>-537367.32356919278</v>
      </c>
    </row>
    <row r="32" spans="2:28" x14ac:dyDescent="0.3">
      <c r="B32" s="92" t="s">
        <v>156</v>
      </c>
      <c r="C32"/>
      <c r="D32" s="86">
        <f>'COST BUILD'!D29</f>
        <v>14687.5</v>
      </c>
      <c r="E32" s="86">
        <f>'COST BUILD'!E29</f>
        <v>29201.866646226688</v>
      </c>
      <c r="F32" s="86">
        <f>'COST BUILD'!F29</f>
        <v>43541.457112136042</v>
      </c>
      <c r="G32" s="86">
        <f>'COST BUILD'!G29</f>
        <v>57704.612982743129</v>
      </c>
      <c r="H32" s="86">
        <f>'COST BUILD'!H29</f>
        <v>71689.660106706637</v>
      </c>
      <c r="I32" s="86">
        <f>'COST BUILD'!I29</f>
        <v>85494.908447009802</v>
      </c>
      <c r="J32" s="86">
        <f>'COST BUILD'!J29</f>
        <v>99118.651930224631</v>
      </c>
      <c r="K32" s="86">
        <f>'COST BUILD'!K29</f>
        <v>112559.16829434555</v>
      </c>
      <c r="L32" s="86">
        <f>'COST BUILD'!L29</f>
        <v>125814.71893517948</v>
      </c>
      <c r="M32" s="86">
        <f>'COST BUILD'!M29</f>
        <v>138883.54875127814</v>
      </c>
      <c r="N32" s="86">
        <f>'COST BUILD'!N29</f>
        <v>151763.88598739909</v>
      </c>
      <c r="O32" s="86">
        <f>'COST BUILD'!O29</f>
        <v>164453.94207648121</v>
      </c>
      <c r="P32" s="86">
        <f>'COST BUILD'!P29</f>
        <v>176951.91148012085</v>
      </c>
      <c r="Q32" s="86">
        <f>'COST BUILD'!Q29</f>
        <v>189255.97152753436</v>
      </c>
      <c r="R32" s="86">
        <f>'COST BUILD'!R29</f>
        <v>201364.2822529925</v>
      </c>
      <c r="S32" s="86">
        <f>'COST BUILD'!S29</f>
        <v>213274.98623171207</v>
      </c>
      <c r="T32" s="86">
        <f>'COST BUILD'!T29</f>
        <v>224986.20841419083</v>
      </c>
      <c r="U32" s="86">
        <f>'COST BUILD'!U29</f>
        <v>236496.05595897004</v>
      </c>
      <c r="V32" s="86">
        <f>'COST BUILD'!V29</f>
        <v>247802.61806381025</v>
      </c>
      <c r="W32" s="86">
        <f>'COST BUILD'!W29</f>
        <v>258903.96579526534</v>
      </c>
      <c r="X32" s="86">
        <f>'COST BUILD'!X29</f>
        <v>269798.15191663901</v>
      </c>
      <c r="Y32" s="86">
        <f>'COST BUILD'!Y29</f>
        <v>280483.21071430919</v>
      </c>
      <c r="Z32" s="86">
        <f>'COST BUILD'!Z29</f>
        <v>290957.15782240429</v>
      </c>
      <c r="AA32" s="86">
        <f>'COST BUILD'!AA29</f>
        <v>301217.99004581588</v>
      </c>
      <c r="AB32" s="86">
        <f>'COST BUILD'!AB29</f>
        <v>384577.40464354481</v>
      </c>
    </row>
    <row r="33" spans="2:28" x14ac:dyDescent="0.3">
      <c r="B33" s="93" t="s">
        <v>201</v>
      </c>
      <c r="C33"/>
      <c r="D33" s="87">
        <f>SUM(D31:D32)</f>
        <v>1994037.5</v>
      </c>
      <c r="E33" s="87">
        <f t="shared" ref="E33:AB33" si="9">SUM(E31:E32)</f>
        <v>1944028.8385591246</v>
      </c>
      <c r="F33" s="87">
        <f t="shared" si="9"/>
        <v>1890714.6277526307</v>
      </c>
      <c r="G33" s="87">
        <f t="shared" si="9"/>
        <v>1834251.2023790372</v>
      </c>
      <c r="H33" s="87">
        <f t="shared" si="9"/>
        <v>1774805.7610315895</v>
      </c>
      <c r="I33" s="87">
        <f t="shared" si="9"/>
        <v>1712556.9504548509</v>
      </c>
      <c r="J33" s="87">
        <f t="shared" si="9"/>
        <v>1647695.4800843063</v>
      </c>
      <c r="K33" s="87">
        <f t="shared" si="9"/>
        <v>1580424.768311257</v>
      </c>
      <c r="L33" s="87">
        <f t="shared" si="9"/>
        <v>1510961.6220937325</v>
      </c>
      <c r="M33" s="87">
        <f t="shared" si="9"/>
        <v>1439536.9516165517</v>
      </c>
      <c r="N33" s="87">
        <f t="shared" si="9"/>
        <v>1366396.5217902691</v>
      </c>
      <c r="O33" s="87">
        <f t="shared" si="9"/>
        <v>1291801.7424697233</v>
      </c>
      <c r="P33" s="87">
        <f t="shared" si="9"/>
        <v>1216030.4993685146</v>
      </c>
      <c r="Q33" s="87">
        <f t="shared" si="9"/>
        <v>1139378.0277461722</v>
      </c>
      <c r="R33" s="87">
        <f t="shared" si="9"/>
        <v>1062157.8310503196</v>
      </c>
      <c r="S33" s="87">
        <f t="shared" si="9"/>
        <v>984702.64680703182</v>
      </c>
      <c r="T33" s="87">
        <f t="shared" si="9"/>
        <v>907365.46216908016</v>
      </c>
      <c r="U33" s="87">
        <f t="shared" si="9"/>
        <v>830520.58165417914</v>
      </c>
      <c r="V33" s="87">
        <f t="shared" si="9"/>
        <v>754564.74973395467</v>
      </c>
      <c r="W33" s="87">
        <f t="shared" si="9"/>
        <v>679918.33106949134</v>
      </c>
      <c r="X33" s="87">
        <f t="shared" si="9"/>
        <v>607026.55133128352</v>
      </c>
      <c r="Y33" s="87">
        <f t="shared" si="9"/>
        <v>536360.80169058824</v>
      </c>
      <c r="Z33" s="87">
        <f t="shared" si="9"/>
        <v>468420.01022589661</v>
      </c>
      <c r="AA33" s="87">
        <f t="shared" si="9"/>
        <v>403732.08365290018</v>
      </c>
      <c r="AB33" s="87">
        <f t="shared" si="9"/>
        <v>-152789.91892564797</v>
      </c>
    </row>
    <row r="34" spans="2:28" x14ac:dyDescent="0.3">
      <c r="B34" s="94"/>
      <c r="C34"/>
    </row>
    <row r="35" spans="2:28" x14ac:dyDescent="0.3">
      <c r="B35" s="91" t="s">
        <v>202</v>
      </c>
      <c r="C35"/>
    </row>
    <row r="36" spans="2:28" x14ac:dyDescent="0.3">
      <c r="B36" s="92" t="s">
        <v>203</v>
      </c>
      <c r="C36"/>
      <c r="D36" s="86">
        <f>(-'MONTHLY P&amp;L'!D8)/30*ASSUMPTIONS!$C$75</f>
        <v>42746</v>
      </c>
      <c r="E36" s="86">
        <f>(-'MONTHLY P&amp;L'!E8)/30*ASSUMPTIONS!$C$75</f>
        <v>45005.14033400637</v>
      </c>
      <c r="F36" s="86">
        <f>(-'MONTHLY P&amp;L'!F8)/30*ASSUMPTIONS!$C$75</f>
        <v>47377.245761802602</v>
      </c>
      <c r="G36" s="86">
        <f>(-'MONTHLY P&amp;L'!G8)/30*ASSUMPTIONS!$C$75</f>
        <v>49867.806527437373</v>
      </c>
      <c r="H36" s="86">
        <f>(-'MONTHLY P&amp;L'!H8)/30*ASSUMPTIONS!$C$75</f>
        <v>52482.575708266311</v>
      </c>
      <c r="I36" s="86">
        <f>(-'MONTHLY P&amp;L'!I8)/30*ASSUMPTIONS!$C$75</f>
        <v>55227.58169751439</v>
      </c>
      <c r="J36" s="86">
        <f>(-'MONTHLY P&amp;L'!J8)/30*ASSUMPTIONS!$C$75</f>
        <v>58109.141277230221</v>
      </c>
      <c r="K36" s="86">
        <f>(-'MONTHLY P&amp;L'!K8)/30*ASSUMPTIONS!$C$75</f>
        <v>61133.873309498384</v>
      </c>
      <c r="L36" s="86">
        <f>(-'MONTHLY P&amp;L'!L8)/30*ASSUMPTIONS!$C$75</f>
        <v>64308.713075089407</v>
      </c>
      <c r="M36" s="86">
        <f>(-'MONTHLY P&amp;L'!M8)/30*ASSUMPTIONS!$C$75</f>
        <v>67640.927290103369</v>
      </c>
      <c r="N36" s="86">
        <f>(-'MONTHLY P&amp;L'!N8)/30*ASSUMPTIONS!$C$75</f>
        <v>71138.129832602805</v>
      </c>
      <c r="O36" s="86">
        <f>(-'MONTHLY P&amp;L'!O8)/30*ASSUMPTIONS!$C$75</f>
        <v>74808.298212739668</v>
      </c>
      <c r="P36" s="86">
        <f>(-'MONTHLY P&amp;L'!P8)/30*ASSUMPTIONS!$C$75</f>
        <v>78659.790821460425</v>
      </c>
      <c r="Q36" s="86">
        <f>(-'MONTHLY P&amp;L'!Q8)/30*ASSUMPTIONS!$C$75</f>
        <v>82701.364994526841</v>
      </c>
      <c r="R36" s="86">
        <f>(-'MONTHLY P&amp;L'!R8)/30*ASSUMPTIONS!$C$75</f>
        <v>86942.19593032237</v>
      </c>
      <c r="S36" s="86">
        <f>(-'MONTHLY P&amp;L'!S8)/30*ASSUMPTIONS!$C$75</f>
        <v>91391.89650172714</v>
      </c>
      <c r="T36" s="86">
        <f>(-'MONTHLY P&amp;L'!T8)/30*ASSUMPTIONS!$C$75</f>
        <v>96060.538004242946</v>
      </c>
      <c r="U36" s="86">
        <f>(-'MONTHLY P&amp;L'!U8)/30*ASSUMPTIONS!$C$75</f>
        <v>100958.67188453901</v>
      </c>
      <c r="V36" s="86">
        <f>(-'MONTHLY P&amp;L'!V8)/30*ASSUMPTIONS!$C$75</f>
        <v>106097.35249566953</v>
      </c>
      <c r="W36" s="86">
        <f>(-'MONTHLY P&amp;L'!W8)/30*ASSUMPTIONS!$C$75</f>
        <v>111488.16092739553</v>
      </c>
      <c r="X36" s="86">
        <f>(-'MONTHLY P&amp;L'!X8)/30*ASSUMPTIONS!$C$75</f>
        <v>117143.22996232506</v>
      </c>
      <c r="Y36" s="86">
        <f>(-'MONTHLY P&amp;L'!Y8)/30*ASSUMPTIONS!$C$75</f>
        <v>123075.27021097644</v>
      </c>
      <c r="Z36" s="86">
        <f>(-'MONTHLY P&amp;L'!Z8)/30*ASSUMPTIONS!$C$75</f>
        <v>129297.5974813716</v>
      </c>
      <c r="AA36" s="86">
        <f>(-'MONTHLY P&amp;L'!AA8)/30*ASSUMPTIONS!$C$75</f>
        <v>135824.16144138767</v>
      </c>
      <c r="AB36" s="86">
        <f>(-'MONTHLY P&amp;L'!AB8)/365*ASSUMPTIONS!$C$75</f>
        <v>187787.46464626666</v>
      </c>
    </row>
    <row r="37" spans="2:28" x14ac:dyDescent="0.3">
      <c r="B37" s="93" t="s">
        <v>204</v>
      </c>
      <c r="C37"/>
      <c r="D37" s="87">
        <f>D36</f>
        <v>42746</v>
      </c>
      <c r="E37" s="87">
        <f t="shared" ref="E37:AB37" si="10">E36</f>
        <v>45005.14033400637</v>
      </c>
      <c r="F37" s="87">
        <f t="shared" si="10"/>
        <v>47377.245761802602</v>
      </c>
      <c r="G37" s="87">
        <f t="shared" si="10"/>
        <v>49867.806527437373</v>
      </c>
      <c r="H37" s="87">
        <f t="shared" si="10"/>
        <v>52482.575708266311</v>
      </c>
      <c r="I37" s="87">
        <f t="shared" si="10"/>
        <v>55227.58169751439</v>
      </c>
      <c r="J37" s="87">
        <f t="shared" si="10"/>
        <v>58109.141277230221</v>
      </c>
      <c r="K37" s="87">
        <f t="shared" si="10"/>
        <v>61133.873309498384</v>
      </c>
      <c r="L37" s="87">
        <f t="shared" si="10"/>
        <v>64308.713075089407</v>
      </c>
      <c r="M37" s="87">
        <f t="shared" si="10"/>
        <v>67640.927290103369</v>
      </c>
      <c r="N37" s="87">
        <f t="shared" si="10"/>
        <v>71138.129832602805</v>
      </c>
      <c r="O37" s="87">
        <f t="shared" si="10"/>
        <v>74808.298212739668</v>
      </c>
      <c r="P37" s="87">
        <f t="shared" si="10"/>
        <v>78659.790821460425</v>
      </c>
      <c r="Q37" s="87">
        <f t="shared" si="10"/>
        <v>82701.364994526841</v>
      </c>
      <c r="R37" s="87">
        <f t="shared" si="10"/>
        <v>86942.19593032237</v>
      </c>
      <c r="S37" s="87">
        <f t="shared" si="10"/>
        <v>91391.89650172714</v>
      </c>
      <c r="T37" s="87">
        <f t="shared" si="10"/>
        <v>96060.538004242946</v>
      </c>
      <c r="U37" s="87">
        <f t="shared" si="10"/>
        <v>100958.67188453901</v>
      </c>
      <c r="V37" s="87">
        <f t="shared" si="10"/>
        <v>106097.35249566953</v>
      </c>
      <c r="W37" s="87">
        <f t="shared" si="10"/>
        <v>111488.16092739553</v>
      </c>
      <c r="X37" s="87">
        <f t="shared" si="10"/>
        <v>117143.22996232506</v>
      </c>
      <c r="Y37" s="87">
        <f t="shared" si="10"/>
        <v>123075.27021097644</v>
      </c>
      <c r="Z37" s="87">
        <f t="shared" si="10"/>
        <v>129297.5974813716</v>
      </c>
      <c r="AA37" s="87">
        <f t="shared" si="10"/>
        <v>135824.16144138767</v>
      </c>
      <c r="AB37" s="87">
        <f t="shared" si="10"/>
        <v>187787.46464626666</v>
      </c>
    </row>
    <row r="38" spans="2:28" x14ac:dyDescent="0.3">
      <c r="B38" s="94"/>
      <c r="C38"/>
    </row>
    <row r="39" spans="2:28" x14ac:dyDescent="0.3">
      <c r="B39" s="91" t="s">
        <v>205</v>
      </c>
      <c r="C39"/>
    </row>
    <row r="40" spans="2:28" x14ac:dyDescent="0.3">
      <c r="B40" s="92" t="s">
        <v>206</v>
      </c>
      <c r="C40"/>
      <c r="D40" s="86">
        <f>ASSUMPTIONS!C30</f>
        <v>2000000</v>
      </c>
      <c r="E40" s="39">
        <f>D40</f>
        <v>2000000</v>
      </c>
      <c r="F40" s="39">
        <f t="shared" ref="F40:AB40" si="11">E40</f>
        <v>2000000</v>
      </c>
      <c r="G40" s="39">
        <f t="shared" si="11"/>
        <v>2000000</v>
      </c>
      <c r="H40" s="39">
        <f t="shared" si="11"/>
        <v>2000000</v>
      </c>
      <c r="I40" s="39">
        <f t="shared" si="11"/>
        <v>2000000</v>
      </c>
      <c r="J40" s="39">
        <f t="shared" si="11"/>
        <v>2000000</v>
      </c>
      <c r="K40" s="39">
        <f t="shared" si="11"/>
        <v>2000000</v>
      </c>
      <c r="L40" s="39">
        <f t="shared" si="11"/>
        <v>2000000</v>
      </c>
      <c r="M40" s="39">
        <f t="shared" si="11"/>
        <v>2000000</v>
      </c>
      <c r="N40" s="39">
        <f t="shared" si="11"/>
        <v>2000000</v>
      </c>
      <c r="O40" s="39">
        <f t="shared" si="11"/>
        <v>2000000</v>
      </c>
      <c r="P40" s="39">
        <f t="shared" si="11"/>
        <v>2000000</v>
      </c>
      <c r="Q40" s="39">
        <f t="shared" si="11"/>
        <v>2000000</v>
      </c>
      <c r="R40" s="39">
        <f t="shared" si="11"/>
        <v>2000000</v>
      </c>
      <c r="S40" s="39">
        <f t="shared" si="11"/>
        <v>2000000</v>
      </c>
      <c r="T40" s="39">
        <f t="shared" si="11"/>
        <v>2000000</v>
      </c>
      <c r="U40" s="39">
        <f t="shared" si="11"/>
        <v>2000000</v>
      </c>
      <c r="V40" s="39">
        <f t="shared" si="11"/>
        <v>2000000</v>
      </c>
      <c r="W40" s="39">
        <f t="shared" si="11"/>
        <v>2000000</v>
      </c>
      <c r="X40" s="39">
        <f t="shared" si="11"/>
        <v>2000000</v>
      </c>
      <c r="Y40" s="39">
        <f t="shared" si="11"/>
        <v>2000000</v>
      </c>
      <c r="Z40" s="39">
        <f t="shared" si="11"/>
        <v>2000000</v>
      </c>
      <c r="AA40" s="39">
        <f t="shared" si="11"/>
        <v>2000000</v>
      </c>
      <c r="AB40" s="88">
        <f t="shared" si="11"/>
        <v>2000000</v>
      </c>
    </row>
    <row r="41" spans="2:28" x14ac:dyDescent="0.3">
      <c r="B41" s="92" t="s">
        <v>207</v>
      </c>
      <c r="C41"/>
      <c r="D41" s="86">
        <f>'MONTHLY P&amp;L'!D33</f>
        <v>-48708.5</v>
      </c>
      <c r="E41" s="86">
        <f>D41+'MONTHLY P&amp;L'!E33</f>
        <v>-100976.30177488181</v>
      </c>
      <c r="F41" s="86">
        <f>E41+'MONTHLY P&amp;L'!F33</f>
        <v>-156662.6180091718</v>
      </c>
      <c r="G41" s="86">
        <f>F41+'MONTHLY P&amp;L'!G33</f>
        <v>-215616.60414840025</v>
      </c>
      <c r="H41" s="86">
        <f>G41+'MONTHLY P&amp;L'!H33</f>
        <v>-277676.81467667688</v>
      </c>
      <c r="I41" s="86">
        <f>H41+'MONTHLY P&amp;L'!I33</f>
        <v>-342670.63124266325</v>
      </c>
      <c r="J41" s="86">
        <f>I41+'MONTHLY P&amp;L'!J33</f>
        <v>-410413.66119292378</v>
      </c>
      <c r="K41" s="86">
        <f>J41+'MONTHLY P&amp;L'!K33</f>
        <v>-480709.10499824135</v>
      </c>
      <c r="L41" s="86">
        <f>K41+'MONTHLY P&amp;L'!L33</f>
        <v>-553347.09098135692</v>
      </c>
      <c r="M41" s="86">
        <f>L41+'MONTHLY P&amp;L'!M33</f>
        <v>-628103.97567355155</v>
      </c>
      <c r="N41" s="86">
        <f>M41+'MONTHLY P&amp;L'!N33</f>
        <v>-704741.60804233374</v>
      </c>
      <c r="O41" s="86">
        <f>N41+'MONTHLY P&amp;L'!O33</f>
        <v>-783006.5557430163</v>
      </c>
      <c r="P41" s="86">
        <f>O41+'MONTHLY P&amp;L'!P33</f>
        <v>-862629.29145294568</v>
      </c>
      <c r="Q41" s="86">
        <f>P41+'MONTHLY P&amp;L'!Q33</f>
        <v>-943323.33724835457</v>
      </c>
      <c r="R41" s="86">
        <f>Q41+'MONTHLY P&amp;L'!R33</f>
        <v>-1024784.3648800027</v>
      </c>
      <c r="S41" s="86">
        <f>R41+'MONTHLY P&amp;L'!S33</f>
        <v>-1106689.2496946952</v>
      </c>
      <c r="T41" s="86">
        <f>S41+'MONTHLY P&amp;L'!T33</f>
        <v>-1188695.0758351625</v>
      </c>
      <c r="U41" s="86">
        <f>T41+'MONTHLY P&amp;L'!U33</f>
        <v>-1270438.0902303597</v>
      </c>
      <c r="V41" s="86">
        <f>U41+'MONTHLY P&amp;L'!V33</f>
        <v>-1351532.6027617147</v>
      </c>
      <c r="W41" s="86">
        <f>V41+'MONTHLY P&amp;L'!W33</f>
        <v>-1431569.829857904</v>
      </c>
      <c r="X41" s="86">
        <f>W41+'MONTHLY P&amp;L'!X33</f>
        <v>-1510116.6786310414</v>
      </c>
      <c r="Y41" s="86">
        <f>X41+'MONTHLY P&amp;L'!Y33</f>
        <v>-1586714.468520388</v>
      </c>
      <c r="Z41" s="86">
        <f>Y41+'MONTHLY P&amp;L'!Z33</f>
        <v>-1660877.5872554749</v>
      </c>
      <c r="AA41" s="86">
        <f>Z41+'MONTHLY P&amp;L'!AA33</f>
        <v>-1732092.0777884873</v>
      </c>
      <c r="AB41" s="88">
        <f>AA41+'MONTHLY P&amp;L'!AB33</f>
        <v>-2340577.3835719144</v>
      </c>
    </row>
    <row r="42" spans="2:28" x14ac:dyDescent="0.3">
      <c r="B42" s="93" t="s">
        <v>208</v>
      </c>
      <c r="C42"/>
      <c r="D42" s="87">
        <f>SUM(D40:D41)</f>
        <v>1951291.5</v>
      </c>
      <c r="E42" s="87">
        <f t="shared" ref="E42:AB42" si="12">SUM(E40:E41)</f>
        <v>1899023.6982251182</v>
      </c>
      <c r="F42" s="87">
        <f t="shared" si="12"/>
        <v>1843337.3819908281</v>
      </c>
      <c r="G42" s="87">
        <f t="shared" si="12"/>
        <v>1784383.3958515998</v>
      </c>
      <c r="H42" s="87">
        <f t="shared" si="12"/>
        <v>1722323.1853233231</v>
      </c>
      <c r="I42" s="87">
        <f t="shared" si="12"/>
        <v>1657329.3687573369</v>
      </c>
      <c r="J42" s="87">
        <f t="shared" si="12"/>
        <v>1589586.3388070762</v>
      </c>
      <c r="K42" s="87">
        <f t="shared" si="12"/>
        <v>1519290.8950017586</v>
      </c>
      <c r="L42" s="87">
        <f t="shared" si="12"/>
        <v>1446652.9090186432</v>
      </c>
      <c r="M42" s="87">
        <f t="shared" si="12"/>
        <v>1371896.0243264483</v>
      </c>
      <c r="N42" s="87">
        <f t="shared" si="12"/>
        <v>1295258.3919576663</v>
      </c>
      <c r="O42" s="87">
        <f t="shared" si="12"/>
        <v>1216993.4442569837</v>
      </c>
      <c r="P42" s="87">
        <f t="shared" si="12"/>
        <v>1137370.7085470543</v>
      </c>
      <c r="Q42" s="87">
        <f t="shared" si="12"/>
        <v>1056676.6627516453</v>
      </c>
      <c r="R42" s="87">
        <f t="shared" si="12"/>
        <v>975215.63511999731</v>
      </c>
      <c r="S42" s="87">
        <f t="shared" si="12"/>
        <v>893310.75030530477</v>
      </c>
      <c r="T42" s="87">
        <f t="shared" si="12"/>
        <v>811304.92416483746</v>
      </c>
      <c r="U42" s="87">
        <f t="shared" si="12"/>
        <v>729561.9097696403</v>
      </c>
      <c r="V42" s="87">
        <f t="shared" si="12"/>
        <v>648467.39723828528</v>
      </c>
      <c r="W42" s="87">
        <f t="shared" si="12"/>
        <v>568430.170142096</v>
      </c>
      <c r="X42" s="87">
        <f t="shared" si="12"/>
        <v>489883.32136895857</v>
      </c>
      <c r="Y42" s="87">
        <f t="shared" si="12"/>
        <v>413285.53147961199</v>
      </c>
      <c r="Z42" s="87">
        <f t="shared" si="12"/>
        <v>339122.41274452512</v>
      </c>
      <c r="AA42" s="87">
        <f t="shared" si="12"/>
        <v>267907.92221151269</v>
      </c>
      <c r="AB42" s="87">
        <f t="shared" si="12"/>
        <v>-340577.3835719144</v>
      </c>
    </row>
    <row r="43" spans="2:28" x14ac:dyDescent="0.3">
      <c r="B43" s="94"/>
      <c r="C43"/>
    </row>
    <row r="44" spans="2:28" x14ac:dyDescent="0.3">
      <c r="B44" s="93" t="s">
        <v>209</v>
      </c>
      <c r="C44"/>
      <c r="D44" s="87">
        <f>D42+D37</f>
        <v>1994037.5</v>
      </c>
      <c r="E44" s="87">
        <f t="shared" ref="E44:AB44" si="13">E42+E37</f>
        <v>1944028.8385591246</v>
      </c>
      <c r="F44" s="87">
        <f t="shared" si="13"/>
        <v>1890714.6277526307</v>
      </c>
      <c r="G44" s="87">
        <f t="shared" si="13"/>
        <v>1834251.2023790372</v>
      </c>
      <c r="H44" s="87">
        <f t="shared" si="13"/>
        <v>1774805.7610315895</v>
      </c>
      <c r="I44" s="87">
        <f t="shared" si="13"/>
        <v>1712556.9504548511</v>
      </c>
      <c r="J44" s="87">
        <f t="shared" si="13"/>
        <v>1647695.4800843063</v>
      </c>
      <c r="K44" s="87">
        <f t="shared" si="13"/>
        <v>1580424.768311257</v>
      </c>
      <c r="L44" s="87">
        <f t="shared" si="13"/>
        <v>1510961.6220937327</v>
      </c>
      <c r="M44" s="87">
        <f t="shared" si="13"/>
        <v>1439536.9516165517</v>
      </c>
      <c r="N44" s="87">
        <f t="shared" si="13"/>
        <v>1366396.5217902691</v>
      </c>
      <c r="O44" s="87">
        <f t="shared" si="13"/>
        <v>1291801.7424697233</v>
      </c>
      <c r="P44" s="87">
        <f t="shared" si="13"/>
        <v>1216030.4993685149</v>
      </c>
      <c r="Q44" s="87">
        <f t="shared" si="13"/>
        <v>1139378.0277461722</v>
      </c>
      <c r="R44" s="87">
        <f t="shared" si="13"/>
        <v>1062157.8310503196</v>
      </c>
      <c r="S44" s="87">
        <f t="shared" si="13"/>
        <v>984702.64680703194</v>
      </c>
      <c r="T44" s="87">
        <f t="shared" si="13"/>
        <v>907365.46216908039</v>
      </c>
      <c r="U44" s="87">
        <f t="shared" si="13"/>
        <v>830520.58165417938</v>
      </c>
      <c r="V44" s="87">
        <f t="shared" si="13"/>
        <v>754564.74973395478</v>
      </c>
      <c r="W44" s="87">
        <f t="shared" si="13"/>
        <v>679918.33106949157</v>
      </c>
      <c r="X44" s="87">
        <f t="shared" si="13"/>
        <v>607026.55133128364</v>
      </c>
      <c r="Y44" s="87">
        <f t="shared" si="13"/>
        <v>536360.80169058847</v>
      </c>
      <c r="Z44" s="87">
        <f t="shared" si="13"/>
        <v>468420.01022589672</v>
      </c>
      <c r="AA44" s="87">
        <f t="shared" si="13"/>
        <v>403732.08365290036</v>
      </c>
      <c r="AB44" s="87">
        <f t="shared" si="13"/>
        <v>-152789.91892564774</v>
      </c>
    </row>
    <row r="45" spans="2:28" x14ac:dyDescent="0.3">
      <c r="B45" s="6"/>
      <c r="C45"/>
      <c r="D45" s="39" t="b">
        <f>D44=D33</f>
        <v>1</v>
      </c>
      <c r="E45" s="39" t="b">
        <f t="shared" ref="E45:AB45" si="14">E44=E33</f>
        <v>1</v>
      </c>
      <c r="F45" s="39" t="b">
        <f t="shared" si="14"/>
        <v>1</v>
      </c>
      <c r="G45" s="39" t="b">
        <f t="shared" si="14"/>
        <v>1</v>
      </c>
      <c r="H45" s="39" t="b">
        <f t="shared" si="14"/>
        <v>1</v>
      </c>
      <c r="I45" s="39" t="b">
        <f t="shared" si="14"/>
        <v>1</v>
      </c>
      <c r="J45" s="39" t="b">
        <f t="shared" si="14"/>
        <v>1</v>
      </c>
      <c r="K45" s="39" t="b">
        <f t="shared" si="14"/>
        <v>1</v>
      </c>
      <c r="L45" s="39" t="b">
        <f t="shared" si="14"/>
        <v>1</v>
      </c>
      <c r="M45" s="39" t="b">
        <f t="shared" si="14"/>
        <v>1</v>
      </c>
      <c r="N45" s="39" t="b">
        <f t="shared" si="14"/>
        <v>1</v>
      </c>
      <c r="O45" s="39" t="b">
        <f t="shared" si="14"/>
        <v>1</v>
      </c>
      <c r="P45" s="39" t="b">
        <f t="shared" si="14"/>
        <v>1</v>
      </c>
      <c r="Q45" s="39" t="b">
        <f t="shared" si="14"/>
        <v>1</v>
      </c>
      <c r="R45" s="39" t="b">
        <f t="shared" si="14"/>
        <v>1</v>
      </c>
      <c r="S45" s="39" t="b">
        <f t="shared" si="14"/>
        <v>1</v>
      </c>
      <c r="T45" s="39" t="b">
        <f t="shared" si="14"/>
        <v>1</v>
      </c>
      <c r="U45" s="39" t="b">
        <f t="shared" si="14"/>
        <v>1</v>
      </c>
      <c r="V45" s="39" t="b">
        <f t="shared" si="14"/>
        <v>1</v>
      </c>
      <c r="W45" s="39" t="b">
        <f t="shared" si="14"/>
        <v>0</v>
      </c>
      <c r="X45" s="39" t="b">
        <f t="shared" si="14"/>
        <v>1</v>
      </c>
      <c r="Y45" s="39" t="b">
        <f t="shared" si="14"/>
        <v>1</v>
      </c>
      <c r="Z45" s="39" t="b">
        <f t="shared" si="14"/>
        <v>1</v>
      </c>
      <c r="AA45" s="39" t="b">
        <f t="shared" si="14"/>
        <v>1</v>
      </c>
      <c r="AB45" s="39" t="b">
        <f t="shared" si="14"/>
        <v>1</v>
      </c>
    </row>
  </sheetData>
  <mergeCells count="2">
    <mergeCell ref="B8:AB8"/>
    <mergeCell ref="B26:AB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408E-11F8-45FB-B7C6-A3D75DC821B5}">
  <dimension ref="A1:AC31"/>
  <sheetViews>
    <sheetView showGridLines="0" tabSelected="1" workbookViewId="0">
      <selection activeCell="E24" sqref="E24:AB31"/>
    </sheetView>
  </sheetViews>
  <sheetFormatPr defaultRowHeight="15.6" x14ac:dyDescent="0.3"/>
  <cols>
    <col min="1" max="1" width="2.09765625" customWidth="1"/>
    <col min="2" max="2" width="48.59765625" customWidth="1"/>
    <col min="3" max="3" width="9.796875" bestFit="1" customWidth="1"/>
    <col min="4" max="4" width="12.296875" bestFit="1" customWidth="1"/>
    <col min="5" max="14" width="9.8984375" bestFit="1" customWidth="1"/>
    <col min="15" max="22" width="9" bestFit="1" customWidth="1"/>
    <col min="23" max="28" width="20.19921875" bestFit="1" customWidth="1"/>
  </cols>
  <sheetData>
    <row r="1" spans="1:29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 x14ac:dyDescent="0.3">
      <c r="A2" s="47" t="s">
        <v>211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3">
      <c r="A4" s="3"/>
      <c r="B4" s="3"/>
      <c r="C4" s="3"/>
      <c r="D4" s="52">
        <v>2027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2">
        <v>2028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3">
      <c r="A5" s="3"/>
      <c r="B5" s="3"/>
      <c r="C5" s="82" t="s">
        <v>135</v>
      </c>
      <c r="D5" s="83">
        <v>1</v>
      </c>
      <c r="E5" s="84">
        <v>2</v>
      </c>
      <c r="F5" s="84">
        <v>3</v>
      </c>
      <c r="G5" s="84">
        <f>F5+1</f>
        <v>4</v>
      </c>
      <c r="H5" s="84">
        <f t="shared" ref="H5:AA5" si="0">G5+1</f>
        <v>5</v>
      </c>
      <c r="I5" s="84">
        <f t="shared" si="0"/>
        <v>6</v>
      </c>
      <c r="J5" s="84">
        <f t="shared" si="0"/>
        <v>7</v>
      </c>
      <c r="K5" s="84">
        <f t="shared" si="0"/>
        <v>8</v>
      </c>
      <c r="L5" s="84">
        <f t="shared" si="0"/>
        <v>9</v>
      </c>
      <c r="M5" s="84">
        <f t="shared" si="0"/>
        <v>10</v>
      </c>
      <c r="N5" s="84">
        <f t="shared" si="0"/>
        <v>11</v>
      </c>
      <c r="O5" s="84">
        <f t="shared" si="0"/>
        <v>12</v>
      </c>
      <c r="P5" s="84">
        <f t="shared" si="0"/>
        <v>13</v>
      </c>
      <c r="Q5" s="84">
        <f t="shared" si="0"/>
        <v>14</v>
      </c>
      <c r="R5" s="84">
        <f t="shared" si="0"/>
        <v>15</v>
      </c>
      <c r="S5" s="84">
        <f t="shared" si="0"/>
        <v>16</v>
      </c>
      <c r="T5" s="84">
        <f t="shared" si="0"/>
        <v>17</v>
      </c>
      <c r="U5" s="84">
        <f t="shared" si="0"/>
        <v>18</v>
      </c>
      <c r="V5" s="84">
        <f t="shared" si="0"/>
        <v>19</v>
      </c>
      <c r="W5" s="84">
        <f t="shared" si="0"/>
        <v>20</v>
      </c>
      <c r="X5" s="84">
        <f t="shared" si="0"/>
        <v>21</v>
      </c>
      <c r="Y5" s="84">
        <f t="shared" si="0"/>
        <v>22</v>
      </c>
      <c r="Z5" s="84">
        <f t="shared" si="0"/>
        <v>23</v>
      </c>
      <c r="AA5" s="84">
        <f t="shared" si="0"/>
        <v>24</v>
      </c>
      <c r="AB5" s="84" t="s">
        <v>134</v>
      </c>
      <c r="AC5" s="85"/>
    </row>
    <row r="6" spans="1:29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8" spans="1:29" x14ac:dyDescent="0.3">
      <c r="B8" s="117" t="s">
        <v>212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 spans="1:29" x14ac:dyDescent="0.3">
      <c r="B9" s="5" t="s">
        <v>213</v>
      </c>
      <c r="C9" s="3"/>
      <c r="D9" s="87">
        <f>'CFS &amp; SOFP'!D24</f>
        <v>1860131</v>
      </c>
      <c r="E9" s="87">
        <f>'CFS &amp; SOFP'!E24</f>
        <v>1789179.0270306515</v>
      </c>
      <c r="F9" s="87">
        <f>'CFS &amp; SOFP'!F24</f>
        <v>1714767.0206423067</v>
      </c>
      <c r="G9" s="87">
        <f>'CFS &amp; SOFP'!G24</f>
        <v>1637036.552571821</v>
      </c>
      <c r="H9" s="87">
        <f>'CFS &amp; SOFP'!H24</f>
        <v>1556139.2664417697</v>
      </c>
      <c r="I9" s="87">
        <f>'CFS &amp; SOFP'!I24</f>
        <v>1472237.4228283558</v>
      </c>
      <c r="J9" s="87">
        <f>'CFS &amp; SOFP'!J24</f>
        <v>1385504.4725945599</v>
      </c>
      <c r="K9" s="87">
        <f>'CFS &amp; SOFP'!K24</f>
        <v>1296125.6599375601</v>
      </c>
      <c r="L9" s="87">
        <f>'CFS &amp; SOFP'!L24</f>
        <v>1204298.656673369</v>
      </c>
      <c r="M9" s="87">
        <f>'CFS &amp; SOFP'!M24</f>
        <v>1110234.2293592938</v>
      </c>
      <c r="N9" s="87">
        <f>'CFS &amp; SOFP'!N24</f>
        <v>1014156.9409364453</v>
      </c>
      <c r="O9" s="87">
        <f>'CFS &amp; SOFP'!O24</f>
        <v>916305.88866028376</v>
      </c>
      <c r="P9" s="87">
        <f>'CFS &amp; SOFP'!P24</f>
        <v>816935.48017731775</v>
      </c>
      <c r="Q9" s="87">
        <f>'CFS &amp; SOFP'!Q24</f>
        <v>716316.24970076862</v>
      </c>
      <c r="R9" s="87">
        <f>'CFS &amp; SOFP'!R24</f>
        <v>614735.71633753809</v>
      </c>
      <c r="S9" s="87">
        <f>'CFS &amp; SOFP'!S24</f>
        <v>512499.28672338452</v>
      </c>
      <c r="T9" s="87">
        <f>'CFS &amp; SOFP'!T24</f>
        <v>409931.20423310238</v>
      </c>
      <c r="U9" s="87">
        <f>'CFS &amp; SOFP'!U24</f>
        <v>307375.54714796692</v>
      </c>
      <c r="V9" s="87">
        <f>'CFS &amp; SOFP'!V24</f>
        <v>205197.27828404022</v>
      </c>
      <c r="W9" s="87">
        <f>'CFS &amp; SOFP'!W24</f>
        <v>103783.34871243298</v>
      </c>
      <c r="X9" s="87">
        <f>'CFS &amp; SOFP'!X24</f>
        <v>3543.8583365851518</v>
      </c>
      <c r="Y9" s="87">
        <f>'CFS &amp; SOFP'!Y24</f>
        <v>-95086.72376759474</v>
      </c>
      <c r="Z9" s="87">
        <f>'CFS &amp; SOFP'!Z24</f>
        <v>-191648.27619497041</v>
      </c>
      <c r="AA9" s="87">
        <f>'CFS &amp; SOFP'!AA24</f>
        <v>-285653.67602860648</v>
      </c>
      <c r="AB9" s="87">
        <f>'CFS &amp; SOFP'!AB24</f>
        <v>-1078215.9455463532</v>
      </c>
    </row>
    <row r="10" spans="1:29" x14ac:dyDescent="0.3">
      <c r="B10" s="6" t="s">
        <v>214</v>
      </c>
      <c r="C10" s="3"/>
      <c r="D10" s="86">
        <f>'MONTHLY P&amp;L'!D7-'MONTHLY P&amp;L'!D27</f>
        <v>158596</v>
      </c>
      <c r="E10" s="86">
        <f>'MONTHLY P&amp;L'!E7-'MONTHLY P&amp;L'!E27</f>
        <v>167920.30528956337</v>
      </c>
      <c r="F10" s="86">
        <f>'MONTHLY P&amp;L'!F7-'MONTHLY P&amp;L'!F27</f>
        <v>177420.45506525983</v>
      </c>
      <c r="G10" s="86">
        <f>'MONTHLY P&amp;L'!G7-'MONTHLY P&amp;L'!G27</f>
        <v>187102.73590563805</v>
      </c>
      <c r="H10" s="86">
        <f>'MONTHLY P&amp;L'!H7-'MONTHLY P&amp;L'!H27</f>
        <v>196973.71718811401</v>
      </c>
      <c r="I10" s="86">
        <f>'MONTHLY P&amp;L'!I7-'MONTHLY P&amp;L'!I27</f>
        <v>207040.26436312421</v>
      </c>
      <c r="J10" s="86">
        <f>'MONTHLY P&amp;L'!J7-'MONTHLY P&amp;L'!J27</f>
        <v>217309.55285444076</v>
      </c>
      <c r="K10" s="86">
        <f>'MONTHLY P&amp;L'!K7-'MONTHLY P&amp;L'!K27</f>
        <v>227789.08261517598</v>
      </c>
      <c r="L10" s="86">
        <f>'MONTHLY P&amp;L'!L7-'MONTHLY P&amp;L'!L27</f>
        <v>238486.6933703942</v>
      </c>
      <c r="M10" s="86">
        <f>'MONTHLY P&amp;L'!M7-'MONTHLY P&amp;L'!M27</f>
        <v>249410.58057870559</v>
      </c>
      <c r="N10" s="86">
        <f>'MONTHLY P&amp;L'!N7-'MONTHLY P&amp;L'!N27</f>
        <v>260569.312146743</v>
      </c>
      <c r="O10" s="86">
        <f>'MONTHLY P&amp;L'!O7-'MONTHLY P&amp;L'!O27</f>
        <v>271971.84593201993</v>
      </c>
      <c r="P10" s="86">
        <f>'MONTHLY P&amp;L'!P7-'MONTHLY P&amp;L'!P27</f>
        <v>283627.54807133984</v>
      </c>
      <c r="Q10" s="86">
        <f>'MONTHLY P&amp;L'!Q7-'MONTHLY P&amp;L'!Q27</f>
        <v>295546.21217367915</v>
      </c>
      <c r="R10" s="86">
        <f>'MONTHLY P&amp;L'!R7-'MONTHLY P&amp;L'!R27</f>
        <v>307738.07941830024</v>
      </c>
      <c r="S10" s="86">
        <f>'MONTHLY P&amp;L'!S7-'MONTHLY P&amp;L'!S27</f>
        <v>320213.85960077005</v>
      </c>
      <c r="T10" s="86">
        <f>'MONTHLY P&amp;L'!T7-'MONTHLY P&amp;L'!T27</f>
        <v>332984.75317157153</v>
      </c>
      <c r="U10" s="86">
        <f>'MONTHLY P&amp;L'!U7-'MONTHLY P&amp;L'!U27</f>
        <v>346062.47431409976</v>
      </c>
      <c r="V10" s="86">
        <f>'MONTHLY P&amp;L'!V7-'MONTHLY P&amp;L'!V27</f>
        <v>359459.27511104103</v>
      </c>
      <c r="W10" s="86">
        <f>'MONTHLY P&amp;L'!W7-'MONTHLY P&amp;L'!W27</f>
        <v>373187.97085043724</v>
      </c>
      <c r="X10" s="86">
        <f>'MONTHLY P&amp;L'!X7-'MONTHLY P&amp;L'!X27</f>
        <v>387261.96652516071</v>
      </c>
      <c r="Y10" s="86">
        <f>'MONTHLY P&amp;L'!Y7-'MONTHLY P&amp;L'!Y27</f>
        <v>401695.28458204929</v>
      </c>
      <c r="Z10" s="86">
        <f>'MONTHLY P&amp;L'!Z7-'MONTHLY P&amp;L'!Z27</f>
        <v>416502.59397960722</v>
      </c>
      <c r="AA10" s="86">
        <f>'MONTHLY P&amp;L'!AA7-'MONTHLY P&amp;L'!AA27</f>
        <v>431699.24061594711</v>
      </c>
      <c r="AB10" s="86">
        <f>'MONTHLY P&amp;L'!AB7-'MONTHLY P&amp;L'!AB27</f>
        <v>6760295.5575930839</v>
      </c>
    </row>
    <row r="11" spans="1:29" x14ac:dyDescent="0.3">
      <c r="B11" s="6" t="s">
        <v>215</v>
      </c>
      <c r="C11" s="3"/>
      <c r="D11" s="86">
        <f>-'MONTHLY P&amp;L'!D27</f>
        <v>48396</v>
      </c>
      <c r="E11" s="86">
        <f>-'MONTHLY P&amp;L'!E27</f>
        <v>51639.836527089748</v>
      </c>
      <c r="F11" s="86">
        <f>-'MONTHLY P&amp;L'!F27</f>
        <v>54739.892354291529</v>
      </c>
      <c r="G11" s="86">
        <f>-'MONTHLY P&amp;L'!G27</f>
        <v>57686.081839004328</v>
      </c>
      <c r="H11" s="86">
        <f>-'MONTHLY P&amp;L'!H27</f>
        <v>60467.775346686845</v>
      </c>
      <c r="I11" s="86">
        <f>-'MONTHLY P&amp;L'!I27</f>
        <v>63073.771096696713</v>
      </c>
      <c r="J11" s="86">
        <f>-'MONTHLY P&amp;L'!J27</f>
        <v>65492.265567087801</v>
      </c>
      <c r="K11" s="86">
        <f>-'MONTHLY P&amp;L'!K27</f>
        <v>67710.822384968371</v>
      </c>
      <c r="L11" s="86">
        <f>-'MONTHLY P&amp;L'!L27</f>
        <v>69716.339625294378</v>
      </c>
      <c r="M11" s="86">
        <f>-'MONTHLY P&amp;L'!M27</f>
        <v>71495.01543705599</v>
      </c>
      <c r="N11" s="86">
        <f>-'MONTHLY P&amp;L'!N27</f>
        <v>73032.311911701894</v>
      </c>
      <c r="O11" s="86">
        <f>-'MONTHLY P&amp;L'!O27</f>
        <v>74312.91710432223</v>
      </c>
      <c r="P11" s="86">
        <f>-'MONTHLY P&amp;L'!P27</f>
        <v>75320.705113569056</v>
      </c>
      <c r="Q11" s="86">
        <f>-'MONTHLY P&amp;L'!Q27</f>
        <v>76038.694121521461</v>
      </c>
      <c r="R11" s="86">
        <f>-'MONTHLY P&amp;L'!R27</f>
        <v>76449.002289689437</v>
      </c>
      <c r="S11" s="86">
        <f>-'MONTHLY P&amp;L'!S27</f>
        <v>76532.801402081153</v>
      </c>
      <c r="T11" s="86">
        <f>-'MONTHLY P&amp;L'!T27</f>
        <v>76270.268140726374</v>
      </c>
      <c r="U11" s="86">
        <f>-'MONTHLY P&amp;L'!U27</f>
        <v>75640.532873232296</v>
      </c>
      <c r="V11" s="86">
        <f>-'MONTHLY P&amp;L'!V27</f>
        <v>74621.625825841184</v>
      </c>
      <c r="W11" s="86">
        <f>-'MONTHLY P&amp;L'!W27</f>
        <v>73190.420509037911</v>
      </c>
      <c r="X11" s="86">
        <f>-'MONTHLY P&amp;L'!X27</f>
        <v>71322.57425601728</v>
      </c>
      <c r="Y11" s="86">
        <f>-'MONTHLY P&amp;L'!Y27</f>
        <v>68992.465727230883</v>
      </c>
      <c r="Z11" s="86">
        <f>-'MONTHLY P&amp;L'!Z27</f>
        <v>66173.129226796504</v>
      </c>
      <c r="AA11" s="86">
        <f>-'MONTHLY P&amp;L'!AA27</f>
        <v>62836.185668728489</v>
      </c>
      <c r="AB11" s="86">
        <f>-'MONTHLY P&amp;L'!AB27</f>
        <v>453888.21573758125</v>
      </c>
    </row>
    <row r="12" spans="1:29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9" x14ac:dyDescent="0.3">
      <c r="B13" s="6" t="s">
        <v>216</v>
      </c>
      <c r="C13" s="3"/>
      <c r="D13" s="89">
        <f>IF(D11&lt;=0,"Cash-flow positive",D9/D11)</f>
        <v>38.435635176460863</v>
      </c>
      <c r="E13" s="89">
        <f t="shared" ref="E13:AA13" si="1">IF(E11&lt;=0,"Cash-flow positive",E9/E11)</f>
        <v>34.64726357319249</v>
      </c>
      <c r="F13" s="89">
        <f t="shared" si="1"/>
        <v>31.325728767310434</v>
      </c>
      <c r="G13" s="89">
        <f t="shared" si="1"/>
        <v>28.378362689645218</v>
      </c>
      <c r="H13" s="89">
        <f t="shared" si="1"/>
        <v>25.73501766056015</v>
      </c>
      <c r="I13" s="89">
        <f t="shared" si="1"/>
        <v>23.341515771608265</v>
      </c>
      <c r="J13" s="89">
        <f t="shared" si="1"/>
        <v>21.155238112434841</v>
      </c>
      <c r="K13" s="89">
        <f t="shared" si="1"/>
        <v>19.142075288474071</v>
      </c>
      <c r="L13" s="89">
        <f t="shared" si="1"/>
        <v>17.274266881281115</v>
      </c>
      <c r="M13" s="89">
        <f t="shared" si="1"/>
        <v>15.528834039300836</v>
      </c>
      <c r="N13" s="89">
        <f t="shared" si="1"/>
        <v>13.886414306075773</v>
      </c>
      <c r="O13" s="89">
        <f t="shared" si="1"/>
        <v>12.330371681869948</v>
      </c>
      <c r="P13" s="89">
        <f t="shared" si="1"/>
        <v>10.846094429752576</v>
      </c>
      <c r="Q13" s="89">
        <f t="shared" si="1"/>
        <v>9.420417564720216</v>
      </c>
      <c r="R13" s="89">
        <f t="shared" si="1"/>
        <v>8.0411215048707909</v>
      </c>
      <c r="S13" s="89">
        <f t="shared" si="1"/>
        <v>6.6964657942006047</v>
      </c>
      <c r="T13" s="89">
        <f t="shared" si="1"/>
        <v>5.3747182778581264</v>
      </c>
      <c r="U13" s="89">
        <f t="shared" si="1"/>
        <v>4.0636354011823883</v>
      </c>
      <c r="V13" s="89">
        <f t="shared" si="1"/>
        <v>2.7498366058513453</v>
      </c>
      <c r="W13" s="89">
        <f t="shared" si="1"/>
        <v>1.4179908790060485</v>
      </c>
      <c r="X13" s="89">
        <f t="shared" si="1"/>
        <v>4.9687751368370815E-2</v>
      </c>
      <c r="Y13" s="89">
        <f t="shared" si="1"/>
        <v>-1.3782189513784058</v>
      </c>
      <c r="Z13" s="89">
        <f t="shared" si="1"/>
        <v>-2.8961646280642164</v>
      </c>
      <c r="AA13" s="89">
        <f t="shared" si="1"/>
        <v>-4.5460059834721473</v>
      </c>
      <c r="AB13" s="89">
        <f>IF(AB11&lt;=0,"Cash-flow positive",AB9/(AB11/12))</f>
        <v>-28.506118682836171</v>
      </c>
    </row>
    <row r="14" spans="1:29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9" x14ac:dyDescent="0.3">
      <c r="B15" s="5" t="s">
        <v>217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9" x14ac:dyDescent="0.3">
      <c r="B16" s="6" t="s">
        <v>218</v>
      </c>
      <c r="C16" s="95">
        <f>'MONTHLY P&amp;L'!D23+'MONTHLY P&amp;L'!D24</f>
        <v>110000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2:28" x14ac:dyDescent="0.3">
      <c r="B17" s="6" t="s">
        <v>219</v>
      </c>
      <c r="C17" s="96">
        <f>ASSUMPTIONS!C30/'RUNWAY BURN &amp; BREAKEVEN'!C16</f>
        <v>18.181818181818183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2:28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2:28" x14ac:dyDescent="0.3">
      <c r="B19" s="5" t="s">
        <v>220</v>
      </c>
      <c r="C19" s="38">
        <v>150000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2:28" x14ac:dyDescent="0.3">
      <c r="B20" s="6" t="s">
        <v>221</v>
      </c>
      <c r="C20" s="3"/>
      <c r="D20" s="39" t="str">
        <f>IF(D9&lt;$C$19,"⚠ FUNDING NEEDED","OK")</f>
        <v>OK</v>
      </c>
      <c r="E20" s="39" t="str">
        <f>IF(E9&lt;$C$19,"⚠ FUNDING NEEDED","OK")</f>
        <v>OK</v>
      </c>
      <c r="F20" s="6" t="str">
        <f t="shared" ref="F20:AB20" si="2">IF(F9&lt;$C$19,"⚠ FUNDING NEEDED","OK")</f>
        <v>OK</v>
      </c>
      <c r="G20" s="6" t="str">
        <f t="shared" si="2"/>
        <v>OK</v>
      </c>
      <c r="H20" s="6" t="str">
        <f t="shared" si="2"/>
        <v>OK</v>
      </c>
      <c r="I20" s="6" t="str">
        <f t="shared" si="2"/>
        <v>OK</v>
      </c>
      <c r="J20" s="6" t="str">
        <f t="shared" si="2"/>
        <v>OK</v>
      </c>
      <c r="K20" s="6" t="str">
        <f t="shared" si="2"/>
        <v>OK</v>
      </c>
      <c r="L20" s="6" t="str">
        <f t="shared" si="2"/>
        <v>OK</v>
      </c>
      <c r="M20" s="6" t="str">
        <f t="shared" si="2"/>
        <v>OK</v>
      </c>
      <c r="N20" s="6" t="str">
        <f t="shared" si="2"/>
        <v>OK</v>
      </c>
      <c r="O20" s="6" t="str">
        <f t="shared" si="2"/>
        <v>OK</v>
      </c>
      <c r="P20" s="6" t="str">
        <f t="shared" si="2"/>
        <v>OK</v>
      </c>
      <c r="Q20" s="6" t="str">
        <f t="shared" si="2"/>
        <v>OK</v>
      </c>
      <c r="R20" s="6" t="str">
        <f t="shared" si="2"/>
        <v>OK</v>
      </c>
      <c r="S20" s="6" t="str">
        <f t="shared" si="2"/>
        <v>OK</v>
      </c>
      <c r="T20" s="6" t="str">
        <f t="shared" si="2"/>
        <v>OK</v>
      </c>
      <c r="U20" s="6" t="str">
        <f t="shared" si="2"/>
        <v>OK</v>
      </c>
      <c r="V20" s="6" t="str">
        <f t="shared" si="2"/>
        <v>OK</v>
      </c>
      <c r="W20" s="6" t="str">
        <f t="shared" si="2"/>
        <v>⚠ FUNDING NEEDED</v>
      </c>
      <c r="X20" s="6" t="str">
        <f t="shared" si="2"/>
        <v>⚠ FUNDING NEEDED</v>
      </c>
      <c r="Y20" s="6" t="str">
        <f t="shared" si="2"/>
        <v>⚠ FUNDING NEEDED</v>
      </c>
      <c r="Z20" s="6" t="str">
        <f t="shared" si="2"/>
        <v>⚠ FUNDING NEEDED</v>
      </c>
      <c r="AA20" s="6" t="str">
        <f t="shared" si="2"/>
        <v>⚠ FUNDING NEEDED</v>
      </c>
      <c r="AB20" s="6" t="str">
        <f t="shared" si="2"/>
        <v>⚠ FUNDING NEEDED</v>
      </c>
    </row>
    <row r="21" spans="2:28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2:28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2:28" x14ac:dyDescent="0.3">
      <c r="B23" s="117" t="s">
        <v>222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 spans="2:28" x14ac:dyDescent="0.3">
      <c r="B24" s="6" t="s">
        <v>223</v>
      </c>
      <c r="C24" s="3"/>
      <c r="D24" s="86">
        <f>IFERROR('MONTHLY P&amp;L'!D7/'CUSTOMER ACQUISITION &amp; REVENUE'!D33,0)</f>
        <v>1160</v>
      </c>
      <c r="E24" s="86">
        <f>IFERROR('MONTHLY P&amp;L'!E7/'CUSTOMER ACQUISITION &amp; REVENUE'!E33,0)</f>
        <v>1161.7642894945732</v>
      </c>
      <c r="F24" s="86">
        <f>IFERROR('MONTHLY P&amp;L'!F7/'CUSTOMER ACQUISITION &amp; REVENUE'!F33,0)</f>
        <v>1163.5591825158979</v>
      </c>
      <c r="G24" s="86">
        <f>IFERROR('MONTHLY P&amp;L'!G7/'CUSTOMER ACQUISITION &amp; REVENUE'!G33,0)</f>
        <v>1165.3837757260385</v>
      </c>
      <c r="H24" s="86">
        <f>IFERROR('MONTHLY P&amp;L'!H7/'CUSTOMER ACQUISITION &amp; REVENUE'!H33,0)</f>
        <v>1167.2372129940445</v>
      </c>
      <c r="I24" s="86">
        <f>IFERROR('MONTHLY P&amp;L'!I7/'CUSTOMER ACQUISITION &amp; REVENUE'!I33,0)</f>
        <v>1169.1186824157028</v>
      </c>
      <c r="J24" s="86">
        <f>IFERROR('MONTHLY P&amp;L'!J7/'CUSTOMER ACQUISITION &amp; REVENUE'!J33,0)</f>
        <v>1171.0274135562943</v>
      </c>
      <c r="K24" s="86">
        <f>IFERROR('MONTHLY P&amp;L'!K7/'CUSTOMER ACQUISITION &amp; REVENUE'!K33,0)</f>
        <v>1172.9626748971198</v>
      </c>
      <c r="L24" s="86">
        <f>IFERROR('MONTHLY P&amp;L'!L7/'CUSTOMER ACQUISITION &amp; REVENUE'!L33,0)</f>
        <v>1174.9237714684464</v>
      </c>
      <c r="M24" s="86">
        <f>IFERROR('MONTHLY P&amp;L'!M7/'CUSTOMER ACQUISITION &amp; REVENUE'!M33,0)</f>
        <v>1176.9100426531807</v>
      </c>
      <c r="N24" s="86">
        <f>IFERROR('MONTHLY P&amp;L'!N7/'CUSTOMER ACQUISITION &amp; REVENUE'!N33,0)</f>
        <v>1178.9208601470755</v>
      </c>
      <c r="O24" s="86">
        <f>IFERROR('MONTHLY P&amp;L'!O7/'CUSTOMER ACQUISITION &amp; REVENUE'!O33,0)</f>
        <v>1180.9556260626084</v>
      </c>
      <c r="P24" s="86">
        <f>IFERROR('MONTHLY P&amp;L'!P7/'CUSTOMER ACQUISITION &amp; REVENUE'!P33,0)</f>
        <v>1183.0137711648561</v>
      </c>
      <c r="Q24" s="86">
        <f>IFERROR('MONTHLY P&amp;L'!Q7/'CUSTOMER ACQUISITION &amp; REVENUE'!Q33,0)</f>
        <v>1185.0947532287762</v>
      </c>
      <c r="R24" s="86">
        <f>IFERROR('MONTHLY P&amp;L'!R7/'CUSTOMER ACQUISITION &amp; REVENUE'!R33,0)</f>
        <v>1187.1980555082521</v>
      </c>
      <c r="S24" s="86">
        <f>IFERROR('MONTHLY P&amp;L'!S7/'CUSTOMER ACQUISITION &amp; REVENUE'!S33,0)</f>
        <v>1189.3231853081313</v>
      </c>
      <c r="T24" s="86">
        <f>IFERROR('MONTHLY P&amp;L'!T7/'CUSTOMER ACQUISITION &amp; REVENUE'!T33,0)</f>
        <v>1191.469672651265</v>
      </c>
      <c r="U24" s="86">
        <f>IFERROR('MONTHLY P&amp;L'!U7/'CUSTOMER ACQUISITION &amp; REVENUE'!U33,0)</f>
        <v>1193.6370690332531</v>
      </c>
      <c r="V24" s="86">
        <f>IFERROR('MONTHLY P&amp;L'!V7/'CUSTOMER ACQUISITION &amp; REVENUE'!V33,0)</f>
        <v>1195.8249462582373</v>
      </c>
      <c r="W24" s="86">
        <f>IFERROR('MONTHLY P&amp;L'!W7/'CUSTOMER ACQUISITION &amp; REVENUE'!W33,0)</f>
        <v>1198.0328953496532</v>
      </c>
      <c r="X24" s="86">
        <f>IFERROR('MONTHLY P&amp;L'!X7/'CUSTOMER ACQUISITION &amp; REVENUE'!X33,0)</f>
        <v>1200.2605255303718</v>
      </c>
      <c r="Y24" s="86">
        <f>IFERROR('MONTHLY P&amp;L'!Y7/'CUSTOMER ACQUISITION &amp; REVENUE'!Y33,0)</f>
        <v>1202.5074632671269</v>
      </c>
      <c r="Z24" s="86">
        <f>IFERROR('MONTHLY P&amp;L'!Z7/'CUSTOMER ACQUISITION &amp; REVENUE'!Z33,0)</f>
        <v>1204.7733513745513</v>
      </c>
      <c r="AA24" s="86">
        <f>IFERROR('MONTHLY P&amp;L'!AA7/'CUSTOMER ACQUISITION &amp; REVENUE'!AA33,0)</f>
        <v>1207.057848174526</v>
      </c>
      <c r="AB24" s="86">
        <f>IFERROR('MONTHLY P&amp;L'!AB7/'CUSTOMER ACQUISITION &amp; REVENUE'!AB33,0)</f>
        <v>1222.783401606853</v>
      </c>
    </row>
    <row r="25" spans="2:28" x14ac:dyDescent="0.3">
      <c r="B25" s="6" t="s">
        <v>224</v>
      </c>
      <c r="C25" s="3"/>
      <c r="D25" s="86">
        <f>IFERROR((-'MONTHLY P&amp;L'!D8+'MONTHLY P&amp;L'!D18)/'CUSTOMER ACQUISITION &amp; REVENUE'!D33,0)</f>
        <v>511.53684210526313</v>
      </c>
      <c r="E25" s="86">
        <f>IFERROR((-'MONTHLY P&amp;L'!E8+'MONTHLY P&amp;L'!E18)/'CUSTOMER ACQUISITION &amp; REVENUE'!E33,0)</f>
        <v>509.70240570505746</v>
      </c>
      <c r="F25" s="86">
        <f>IFERROR((-'MONTHLY P&amp;L'!F8+'MONTHLY P&amp;L'!F18)/'CUSTOMER ACQUISITION &amp; REVENUE'!F33,0)</f>
        <v>507.95272399915723</v>
      </c>
      <c r="G25" s="86">
        <f>IFERROR((-'MONTHLY P&amp;L'!G8+'MONTHLY P&amp;L'!G18)/'CUSTOMER ACQUISITION &amp; REVENUE'!G33,0)</f>
        <v>506.28317774790685</v>
      </c>
      <c r="H25" s="86">
        <f>IFERROR((-'MONTHLY P&amp;L'!H8+'MONTHLY P&amp;L'!H18)/'CUSTOMER ACQUISITION &amp; REVENUE'!H33,0)</f>
        <v>504.68943172169941</v>
      </c>
      <c r="I25" s="86">
        <f>IFERROR((-'MONTHLY P&amp;L'!I8+'MONTHLY P&amp;L'!I18)/'CUSTOMER ACQUISITION &amp; REVENUE'!I33,0)</f>
        <v>503.1674150844118</v>
      </c>
      <c r="J25" s="86">
        <f>IFERROR((-'MONTHLY P&amp;L'!J8+'MONTHLY P&amp;L'!J18)/'CUSTOMER ACQUISITION &amp; REVENUE'!J33,0)</f>
        <v>501.71330330316528</v>
      </c>
      <c r="K25" s="86">
        <f>IFERROR((-'MONTHLY P&amp;L'!K8+'MONTHLY P&amp;L'!K18)/'CUSTOMER ACQUISITION &amp; REVENUE'!K33,0)</f>
        <v>500.32350145079812</v>
      </c>
      <c r="L25" s="86">
        <f>IFERROR((-'MONTHLY P&amp;L'!L8+'MONTHLY P&amp;L'!L18)/'CUSTOMER ACQUISITION &amp; REVENUE'!L33,0)</f>
        <v>498.99462878051298</v>
      </c>
      <c r="M25" s="86">
        <f>IFERROR((-'MONTHLY P&amp;L'!M8+'MONTHLY P&amp;L'!M18)/'CUSTOMER ACQUISITION &amp; REVENUE'!M33,0)</f>
        <v>497.72350446381785</v>
      </c>
      <c r="N25" s="86">
        <f>IFERROR((-'MONTHLY P&amp;L'!N8+'MONTHLY P&amp;L'!N18)/'CUSTOMER ACQUISITION &amp; REVENUE'!N33,0)</f>
        <v>496.50713439328939</v>
      </c>
      <c r="O25" s="86">
        <f>IFERROR((-'MONTHLY P&amp;L'!O8+'MONTHLY P&amp;L'!O18)/'CUSTOMER ACQUISITION &amp; REVENUE'!O33,0)</f>
        <v>495.34269896099539</v>
      </c>
      <c r="P25" s="86">
        <f>IFERROR((-'MONTHLY P&amp;L'!P8+'MONTHLY P&amp;L'!P18)/'CUSTOMER ACQUISITION &amp; REVENUE'!P33,0)</f>
        <v>494.22754173174468</v>
      </c>
      <c r="Q25" s="86">
        <f>IFERROR((-'MONTHLY P&amp;L'!Q8+'MONTHLY P&amp;L'!Q18)/'CUSTOMER ACQUISITION &amp; REVENUE'!Q33,0)</f>
        <v>493.15915893780613</v>
      </c>
      <c r="R25" s="86">
        <f>IFERROR((-'MONTHLY P&amp;L'!R8+'MONTHLY P&amp;L'!R18)/'CUSTOMER ACQUISITION &amp; REVENUE'!R33,0)</f>
        <v>492.13518972844389</v>
      </c>
      <c r="S25" s="86">
        <f>IFERROR((-'MONTHLY P&amp;L'!S8+'MONTHLY P&amp;L'!S18)/'CUSTOMER ACQUISITION &amp; REVENUE'!S33,0)</f>
        <v>491.15340711364422</v>
      </c>
      <c r="T25" s="86">
        <f>IFERROR((-'MONTHLY P&amp;L'!T8+'MONTHLY P&amp;L'!T18)/'CUSTOMER ACQUISITION &amp; REVENUE'!T33,0)</f>
        <v>490.21170954683464</v>
      </c>
      <c r="U25" s="86">
        <f>IFERROR((-'MONTHLY P&amp;L'!U8+'MONTHLY P&amp;L'!U18)/'CUSTOMER ACQUISITION &amp; REVENUE'!U33,0)</f>
        <v>489.30811309628405</v>
      </c>
      <c r="V25" s="86">
        <f>IFERROR((-'MONTHLY P&amp;L'!V8+'MONTHLY P&amp;L'!V18)/'CUSTOMER ACQUISITION &amp; REVENUE'!V33,0)</f>
        <v>488.44074415928088</v>
      </c>
      <c r="W25" s="86">
        <f>IFERROR((-'MONTHLY P&amp;L'!W8+'MONTHLY P&amp;L'!W18)/'CUSTOMER ACQUISITION &amp; REVENUE'!W33,0)</f>
        <v>487.60783267716971</v>
      </c>
      <c r="X25" s="86">
        <f>IFERROR((-'MONTHLY P&amp;L'!X8+'MONTHLY P&amp;L'!X18)/'CUSTOMER ACQUISITION &amp; REVENUE'!X33,0)</f>
        <v>486.80770581292433</v>
      </c>
      <c r="Y25" s="86">
        <f>IFERROR((-'MONTHLY P&amp;L'!Y8+'MONTHLY P&amp;L'!Y18)/'CUSTOMER ACQUISITION &amp; REVENUE'!Y33,0)</f>
        <v>486.03878205619611</v>
      </c>
      <c r="Z25" s="86">
        <f>IFERROR((-'MONTHLY P&amp;L'!Z8+'MONTHLY P&amp;L'!Z18)/'CUSTOMER ACQUISITION &amp; REVENUE'!Z33,0)</f>
        <v>485.29956572372657</v>
      </c>
      <c r="AA25" s="86">
        <f>IFERROR((-'MONTHLY P&amp;L'!AA8+'MONTHLY P&amp;L'!AA18)/'CUSTOMER ACQUISITION &amp; REVENUE'!AA33,0)</f>
        <v>484.58864182569079</v>
      </c>
      <c r="AB25" s="86">
        <f>IFERROR((-'MONTHLY P&amp;L'!AB8+'MONTHLY P&amp;L'!AB18)/'CUSTOMER ACQUISITION &amp; REVENUE'!AB33,0)</f>
        <v>480.01854805027699</v>
      </c>
    </row>
    <row r="26" spans="2:28" x14ac:dyDescent="0.3">
      <c r="B26" s="5" t="s">
        <v>225</v>
      </c>
      <c r="C26" s="3"/>
      <c r="D26" s="87">
        <f>D24-D25</f>
        <v>648.46315789473692</v>
      </c>
      <c r="E26" s="87">
        <f t="shared" ref="E26:AB26" si="3">E24-E25</f>
        <v>652.06188378951572</v>
      </c>
      <c r="F26" s="87">
        <f t="shared" si="3"/>
        <v>655.60645851674064</v>
      </c>
      <c r="G26" s="87">
        <f t="shared" si="3"/>
        <v>659.10059797813165</v>
      </c>
      <c r="H26" s="87">
        <f t="shared" si="3"/>
        <v>662.54778127234511</v>
      </c>
      <c r="I26" s="87">
        <f t="shared" si="3"/>
        <v>665.95126733129098</v>
      </c>
      <c r="J26" s="87">
        <f t="shared" si="3"/>
        <v>669.314110253129</v>
      </c>
      <c r="K26" s="87">
        <f t="shared" si="3"/>
        <v>672.63917344632159</v>
      </c>
      <c r="L26" s="87">
        <f t="shared" si="3"/>
        <v>675.92914268793334</v>
      </c>
      <c r="M26" s="87">
        <f t="shared" si="3"/>
        <v>679.18653818936286</v>
      </c>
      <c r="N26" s="87">
        <f t="shared" si="3"/>
        <v>682.41372575378614</v>
      </c>
      <c r="O26" s="87">
        <f t="shared" si="3"/>
        <v>685.61292710161297</v>
      </c>
      <c r="P26" s="87">
        <f t="shared" si="3"/>
        <v>688.78622943311143</v>
      </c>
      <c r="Q26" s="87">
        <f t="shared" si="3"/>
        <v>691.93559429097013</v>
      </c>
      <c r="R26" s="87">
        <f t="shared" si="3"/>
        <v>695.06286577980813</v>
      </c>
      <c r="S26" s="87">
        <f t="shared" si="3"/>
        <v>698.16977819448709</v>
      </c>
      <c r="T26" s="87">
        <f t="shared" si="3"/>
        <v>701.25796310443036</v>
      </c>
      <c r="U26" s="87">
        <f t="shared" si="3"/>
        <v>704.32895593696901</v>
      </c>
      <c r="V26" s="87">
        <f t="shared" si="3"/>
        <v>707.38420209895639</v>
      </c>
      <c r="W26" s="87">
        <f t="shared" si="3"/>
        <v>710.42506267248359</v>
      </c>
      <c r="X26" s="87">
        <f t="shared" si="3"/>
        <v>713.45281971744748</v>
      </c>
      <c r="Y26" s="87">
        <f t="shared" si="3"/>
        <v>716.46868121093075</v>
      </c>
      <c r="Z26" s="87">
        <f t="shared" si="3"/>
        <v>719.47378565082477</v>
      </c>
      <c r="AA26" s="87">
        <f t="shared" si="3"/>
        <v>722.46920634883531</v>
      </c>
      <c r="AB26" s="87">
        <f t="shared" si="3"/>
        <v>742.76485355657599</v>
      </c>
    </row>
    <row r="27" spans="2:28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2:28" x14ac:dyDescent="0.3">
      <c r="B28" s="6" t="s">
        <v>226</v>
      </c>
      <c r="C28" s="3"/>
      <c r="D28" s="86">
        <f>'MONTHLY P&amp;L'!D23+'MONTHLY P&amp;L'!D24-'MONTHLY P&amp;L'!D29</f>
        <v>110312.5</v>
      </c>
      <c r="E28" s="86">
        <f>'MONTHLY P&amp;L'!E23+'MONTHLY P&amp;L'!E24-'MONTHLY P&amp;L'!E29</f>
        <v>117532.3844400737</v>
      </c>
      <c r="F28" s="86">
        <f>'MONTHLY P&amp;L'!F23+'MONTHLY P&amp;L'!F24-'MONTHLY P&amp;L'!F29</f>
        <v>124810.57777281292</v>
      </c>
      <c r="G28" s="86">
        <f>'MONTHLY P&amp;L'!G23+'MONTHLY P&amp;L'!G24-'MONTHLY P&amp;L'!G29</f>
        <v>132147.55195020427</v>
      </c>
      <c r="H28" s="86">
        <f>'MONTHLY P&amp;L'!H23+'MONTHLY P&amp;L'!H24-'MONTHLY P&amp;L'!H29</f>
        <v>139543.78275396</v>
      </c>
      <c r="I28" s="86">
        <f>'MONTHLY P&amp;L'!I23+'MONTHLY P&amp;L'!I24-'MONTHLY P&amp;L'!I29</f>
        <v>146999.74982668599</v>
      </c>
      <c r="J28" s="86">
        <f>'MONTHLY P&amp;L'!J23+'MONTHLY P&amp;L'!J24-'MONTHLY P&amp;L'!J29</f>
        <v>154515.93670330427</v>
      </c>
      <c r="K28" s="86">
        <f>'MONTHLY P&amp;L'!K23+'MONTHLY P&amp;L'!K24-'MONTHLY P&amp;L'!K29</f>
        <v>162092.83084273216</v>
      </c>
      <c r="L28" s="86">
        <f>'MONTHLY P&amp;L'!L23+'MONTHLY P&amp;L'!L24-'MONTHLY P&amp;L'!L29</f>
        <v>169730.92365982014</v>
      </c>
      <c r="M28" s="86">
        <f>'MONTHLY P&amp;L'!M23+'MONTHLY P&amp;L'!M24-'MONTHLY P&amp;L'!M29</f>
        <v>177430.71055755034</v>
      </c>
      <c r="N28" s="86">
        <f>'MONTHLY P&amp;L'!N23+'MONTHLY P&amp;L'!N24-'MONTHLY P&amp;L'!N29</f>
        <v>185192.6909594982</v>
      </c>
      <c r="O28" s="86">
        <f>'MONTHLY P&amp;L'!O23+'MONTHLY P&amp;L'!O24-'MONTHLY P&amp;L'!O29</f>
        <v>193017.36834255923</v>
      </c>
      <c r="P28" s="86">
        <f>'MONTHLY P&amp;L'!P23+'MONTHLY P&amp;L'!P24-'MONTHLY P&amp;L'!P29</f>
        <v>200905.25026994298</v>
      </c>
      <c r="Q28" s="86">
        <f>'MONTHLY P&amp;L'!Q23+'MONTHLY P&amp;L'!Q24-'MONTHLY P&amp;L'!Q29</f>
        <v>208856.84842443632</v>
      </c>
      <c r="R28" s="86">
        <f>'MONTHLY P&amp;L'!R23+'MONTHLY P&amp;L'!R24-'MONTHLY P&amp;L'!R29</f>
        <v>216872.67864193892</v>
      </c>
      <c r="S28" s="86">
        <f>'MONTHLY P&amp;L'!S23+'MONTHLY P&amp;L'!S24-'MONTHLY P&amp;L'!S29</f>
        <v>224953.26094527211</v>
      </c>
      <c r="T28" s="86">
        <f>'MONTHLY P&amp;L'!T23+'MONTHLY P&amp;L'!T24-'MONTHLY P&amp;L'!T29</f>
        <v>233099.11957826407</v>
      </c>
      <c r="U28" s="86">
        <f>'MONTHLY P&amp;L'!U23+'MONTHLY P&amp;L'!U24-'MONTHLY P&amp;L'!U29</f>
        <v>241310.7830401136</v>
      </c>
      <c r="V28" s="86">
        <f>'MONTHLY P&amp;L'!V23+'MONTHLY P&amp;L'!V24-'MONTHLY P&amp;L'!V29</f>
        <v>249588.78412003448</v>
      </c>
      <c r="W28" s="86">
        <f>'MONTHLY P&amp;L'!W23+'MONTHLY P&amp;L'!W24-'MONTHLY P&amp;L'!W29</f>
        <v>257933.65993218269</v>
      </c>
      <c r="X28" s="86">
        <f>'MONTHLY P&amp;L'!X23+'MONTHLY P&amp;L'!X24-'MONTHLY P&amp;L'!X29</f>
        <v>266345.95195086935</v>
      </c>
      <c r="Y28" s="86">
        <f>'MONTHLY P&amp;L'!Y23+'MONTHLY P&amp;L'!Y24-'MONTHLY P&amp;L'!Y29</f>
        <v>274826.20604606089</v>
      </c>
      <c r="Z28" s="86">
        <f>'MONTHLY P&amp;L'!Z23+'MONTHLY P&amp;L'!Z24-'MONTHLY P&amp;L'!Z29</f>
        <v>283374.9725191695</v>
      </c>
      <c r="AA28" s="86">
        <f>'MONTHLY P&amp;L'!AA23+'MONTHLY P&amp;L'!AA24-'MONTHLY P&amp;L'!AA29</f>
        <v>291992.80613913602</v>
      </c>
      <c r="AB28" s="86">
        <f>'MONTHLY P&amp;L'!AB23+'MONTHLY P&amp;L'!AB24-'MONTHLY P&amp;L'!AB29</f>
        <v>4439235.477552169</v>
      </c>
    </row>
    <row r="29" spans="2:28" x14ac:dyDescent="0.3">
      <c r="B29" s="5" t="s">
        <v>227</v>
      </c>
      <c r="C29" s="3"/>
      <c r="D29" s="90">
        <f>IF(D26&lt;=0,"n/m",D28/D26)</f>
        <v>170.11375073047202</v>
      </c>
      <c r="E29" s="90">
        <f t="shared" ref="E29:AB29" si="4">IF(E26&lt;=0,"n/m",E28/E26)</f>
        <v>180.24728536043816</v>
      </c>
      <c r="F29" s="90">
        <f t="shared" si="4"/>
        <v>190.37423465166478</v>
      </c>
      <c r="G29" s="90">
        <f t="shared" si="4"/>
        <v>200.49678661433836</v>
      </c>
      <c r="H29" s="90">
        <f t="shared" si="4"/>
        <v>210.61693465486002</v>
      </c>
      <c r="I29" s="90">
        <f t="shared" si="4"/>
        <v>220.73649685474354</v>
      </c>
      <c r="J29" s="90">
        <f t="shared" si="4"/>
        <v>230.85713319993752</v>
      </c>
      <c r="K29" s="90">
        <f t="shared" si="4"/>
        <v>240.98036100430539</v>
      </c>
      <c r="L29" s="90">
        <f t="shared" si="4"/>
        <v>251.10756873843275</v>
      </c>
      <c r="M29" s="90">
        <f t="shared" si="4"/>
        <v>261.24002844720866</v>
      </c>
      <c r="N29" s="90">
        <f t="shared" si="4"/>
        <v>271.37890691594242</v>
      </c>
      <c r="O29" s="90">
        <f t="shared" si="4"/>
        <v>281.52527572449435</v>
      </c>
      <c r="P29" s="90">
        <f t="shared" si="4"/>
        <v>291.68012031148345</v>
      </c>
      <c r="Q29" s="90">
        <f t="shared" si="4"/>
        <v>301.84434815562997</v>
      </c>
      <c r="R29" s="90">
        <f t="shared" si="4"/>
        <v>312.01879616834964</v>
      </c>
      <c r="S29" s="90">
        <f t="shared" si="4"/>
        <v>322.20423738050653</v>
      </c>
      <c r="T29" s="90">
        <f t="shared" si="4"/>
        <v>332.40138699651567</v>
      </c>
      <c r="U29" s="90">
        <f t="shared" si="4"/>
        <v>342.61090788053406</v>
      </c>
      <c r="V29" s="90">
        <f t="shared" si="4"/>
        <v>352.83341553211471</v>
      </c>
      <c r="W29" s="90">
        <f t="shared" si="4"/>
        <v>363.06948260226835</v>
      </c>
      <c r="X29" s="90">
        <f t="shared" si="4"/>
        <v>373.31964299524634</v>
      </c>
      <c r="Y29" s="90">
        <f t="shared" si="4"/>
        <v>383.58439559642267</v>
      </c>
      <c r="Z29" s="90">
        <f t="shared" si="4"/>
        <v>393.86420766231657</v>
      </c>
      <c r="AA29" s="90">
        <f t="shared" si="4"/>
        <v>404.15951790497616</v>
      </c>
      <c r="AB29" s="90">
        <f t="shared" si="4"/>
        <v>5976.6364230830359</v>
      </c>
    </row>
    <row r="30" spans="2:28" x14ac:dyDescent="0.3">
      <c r="B30" s="6" t="s">
        <v>228</v>
      </c>
      <c r="C30" s="3"/>
      <c r="D30" s="86">
        <f>'CUSTOMER ACQUISITION &amp; REVENUE'!D33</f>
        <v>95</v>
      </c>
      <c r="E30" s="86">
        <f>'CUSTOMER ACQUISITION &amp; REVENUE'!E33</f>
        <v>100.08955328887032</v>
      </c>
      <c r="F30" s="86">
        <f>'CUSTOMER ACQUISITION &amp; REVENUE'!F33</f>
        <v>105.43560186229901</v>
      </c>
      <c r="G30" s="86">
        <f>'CUSTOMER ACQUISITION &amp; REVENUE'!G33</f>
        <v>111.05067426050844</v>
      </c>
      <c r="H30" s="86">
        <f>'CUSTOMER ACQUISITION &amp; REVENUE'!H33</f>
        <v>116.94790083952169</v>
      </c>
      <c r="I30" s="86">
        <f>'CUSTOMER ACQUISITION &amp; REVENUE'!I33</f>
        <v>123.14104242090747</v>
      </c>
      <c r="J30" s="86">
        <f>'CUSTOMER ACQUISITION &amp; REVENUE'!J33</f>
        <v>129.6445202988877</v>
      </c>
      <c r="K30" s="86">
        <f>'CUSTOMER ACQUISITION &amp; REVENUE'!K33</f>
        <v>136.47344766895336</v>
      </c>
      <c r="L30" s="86">
        <f>'CUSTOMER ACQUISITION &amp; REVENUE'!L33</f>
        <v>143.64366254515969</v>
      </c>
      <c r="M30" s="86">
        <f>'CUSTOMER ACQUISITION &amp; REVENUE'!M33</f>
        <v>151.17176223644384</v>
      </c>
      <c r="N30" s="86">
        <f>'CUSTOMER ACQUISITION &amp; REVENUE'!N33</f>
        <v>159.07513945562474</v>
      </c>
      <c r="O30" s="86">
        <f>'CUSTOMER ACQUISITION &amp; REVENUE'!O33</f>
        <v>167.37202013822221</v>
      </c>
      <c r="P30" s="86">
        <f>'CUSTOMER ACQUISITION &amp; REVENUE'!P33</f>
        <v>176.08150305187164</v>
      </c>
      <c r="Q30" s="86">
        <f>'CUSTOMER ACQUISITION &amp; REVENUE'!Q33</f>
        <v>185.22360128092046</v>
      </c>
      <c r="R30" s="86">
        <f>'CUSTOMER ACQUISITION &amp; REVENUE'!R33</f>
        <v>194.81928567478448</v>
      </c>
      <c r="S30" s="86">
        <f>'CUSTOMER ACQUISITION &amp; REVENUE'!S33</f>
        <v>204.89053035282058</v>
      </c>
      <c r="T30" s="86">
        <f>'CUSTOMER ACQUISITION &amp; REVENUE'!T33</f>
        <v>215.46036036284718</v>
      </c>
      <c r="U30" s="86">
        <f>'CUSTOMER ACQUISITION &amp; REVENUE'!U33</f>
        <v>226.55290159502732</v>
      </c>
      <c r="V30" s="86">
        <f>'CUSTOMER ACQUISITION &amp; REVENUE'!V33</f>
        <v>238.1934330576253</v>
      </c>
      <c r="W30" s="86">
        <f>'CUSTOMER ACQUISITION &amp; REVENUE'!W33</f>
        <v>250.40844162617356</v>
      </c>
      <c r="X30" s="86">
        <f>'CUSTOMER ACQUISITION &amp; REVENUE'!X33</f>
        <v>263.22567938284561</v>
      </c>
      <c r="Y30" s="86">
        <f>'CUSTOMER ACQUISITION &amp; REVENUE'!Y33</f>
        <v>276.67422366834097</v>
      </c>
      <c r="Z30" s="86">
        <f>'CUSTOMER ACQUISITION &amp; REVENUE'!Z33</f>
        <v>290.78453997435486</v>
      </c>
      <c r="AA30" s="86">
        <f>'CUSTOMER ACQUISITION &amp; REVENUE'!AA33</f>
        <v>305.58854781074706</v>
      </c>
      <c r="AB30" s="86">
        <f>'CUSTOMER ACQUISITION &amp; REVENUE'!AB33</f>
        <v>5157.4198125099565</v>
      </c>
    </row>
    <row r="31" spans="2:28" x14ac:dyDescent="0.3">
      <c r="B31" s="6" t="s">
        <v>229</v>
      </c>
      <c r="C31" s="3"/>
      <c r="D31" s="39" t="str">
        <f>IF(ISNUMBER(D29),IF(D30&gt;=D29,"✓ BREAK-EVEN","Below BE"),"n/m")</f>
        <v>Below BE</v>
      </c>
      <c r="E31" s="39" t="str">
        <f t="shared" ref="E31:AB31" si="5">IF(ISNUMBER(E29),IF(E30&gt;=E29,"✓ BREAK-EVEN","Below BE"),"n/m")</f>
        <v>Below BE</v>
      </c>
      <c r="F31" s="39" t="str">
        <f t="shared" si="5"/>
        <v>Below BE</v>
      </c>
      <c r="G31" s="39" t="str">
        <f t="shared" si="5"/>
        <v>Below BE</v>
      </c>
      <c r="H31" s="39" t="str">
        <f t="shared" si="5"/>
        <v>Below BE</v>
      </c>
      <c r="I31" s="39" t="str">
        <f t="shared" si="5"/>
        <v>Below BE</v>
      </c>
      <c r="J31" s="39" t="str">
        <f t="shared" si="5"/>
        <v>Below BE</v>
      </c>
      <c r="K31" s="39" t="str">
        <f t="shared" si="5"/>
        <v>Below BE</v>
      </c>
      <c r="L31" s="39" t="str">
        <f t="shared" si="5"/>
        <v>Below BE</v>
      </c>
      <c r="M31" s="39" t="str">
        <f t="shared" si="5"/>
        <v>Below BE</v>
      </c>
      <c r="N31" s="39" t="str">
        <f t="shared" si="5"/>
        <v>Below BE</v>
      </c>
      <c r="O31" s="39" t="str">
        <f t="shared" si="5"/>
        <v>Below BE</v>
      </c>
      <c r="P31" s="39" t="str">
        <f t="shared" si="5"/>
        <v>Below BE</v>
      </c>
      <c r="Q31" s="39" t="str">
        <f t="shared" si="5"/>
        <v>Below BE</v>
      </c>
      <c r="R31" s="39" t="str">
        <f t="shared" si="5"/>
        <v>Below BE</v>
      </c>
      <c r="S31" s="39" t="str">
        <f t="shared" si="5"/>
        <v>Below BE</v>
      </c>
      <c r="T31" s="39" t="str">
        <f t="shared" si="5"/>
        <v>Below BE</v>
      </c>
      <c r="U31" s="39" t="str">
        <f t="shared" si="5"/>
        <v>Below BE</v>
      </c>
      <c r="V31" s="39" t="str">
        <f t="shared" si="5"/>
        <v>Below BE</v>
      </c>
      <c r="W31" s="39" t="str">
        <f t="shared" si="5"/>
        <v>Below BE</v>
      </c>
      <c r="X31" s="39" t="str">
        <f t="shared" si="5"/>
        <v>Below BE</v>
      </c>
      <c r="Y31" s="39" t="str">
        <f t="shared" si="5"/>
        <v>Below BE</v>
      </c>
      <c r="Z31" s="39" t="str">
        <f t="shared" si="5"/>
        <v>Below BE</v>
      </c>
      <c r="AA31" s="39" t="str">
        <f t="shared" si="5"/>
        <v>Below BE</v>
      </c>
      <c r="AB31" s="39" t="str">
        <f t="shared" si="5"/>
        <v>Below BE</v>
      </c>
    </row>
  </sheetData>
  <mergeCells count="2">
    <mergeCell ref="B8:AB8"/>
    <mergeCell ref="B23:AB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1E58-D710-4698-93E0-3E280F3794DC}">
  <dimension ref="A1:AG32"/>
  <sheetViews>
    <sheetView showGridLines="0" workbookViewId="0">
      <selection activeCell="B6" sqref="B6:B10"/>
    </sheetView>
  </sheetViews>
  <sheetFormatPr defaultRowHeight="15.6" x14ac:dyDescent="0.3"/>
  <cols>
    <col min="1" max="1" width="4.09765625" customWidth="1"/>
    <col min="2" max="2" width="22.3984375" bestFit="1" customWidth="1"/>
    <col min="3" max="3" width="19.19921875" bestFit="1" customWidth="1"/>
    <col min="4" max="4" width="18.296875" bestFit="1" customWidth="1"/>
    <col min="5" max="5" width="21.69921875" bestFit="1" customWidth="1"/>
    <col min="6" max="6" width="19.19921875" bestFit="1" customWidth="1"/>
    <col min="7" max="7" width="19.09765625" bestFit="1" customWidth="1"/>
  </cols>
  <sheetData>
    <row r="1" spans="1:3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33" ht="17.399999999999999" x14ac:dyDescent="0.3">
      <c r="A2" s="47" t="s">
        <v>232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33" s="48" customFormat="1" x14ac:dyDescent="0.3">
      <c r="A4" s="3"/>
      <c r="B4" s="77" t="s">
        <v>233</v>
      </c>
      <c r="C4" s="98"/>
      <c r="D4" s="99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9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</row>
    <row r="5" spans="1:33" x14ac:dyDescent="0.3">
      <c r="A5" s="3"/>
      <c r="B5" s="3"/>
      <c r="C5" s="82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18"/>
      <c r="AE5" s="18"/>
      <c r="AF5" s="18"/>
      <c r="AG5" s="18"/>
    </row>
    <row r="6" spans="1:33" x14ac:dyDescent="0.3">
      <c r="A6" s="3"/>
      <c r="B6" s="114" t="s">
        <v>68</v>
      </c>
      <c r="C6" s="3"/>
      <c r="D6" s="100">
        <f>ASSUMPTIONS!C30</f>
        <v>2000000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33" x14ac:dyDescent="0.3">
      <c r="A7" s="3"/>
      <c r="B7" s="114" t="s">
        <v>69</v>
      </c>
      <c r="C7" s="3"/>
      <c r="D7" s="102">
        <f>ASSUMPTIONS!C31</f>
        <v>0.15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33" x14ac:dyDescent="0.3">
      <c r="B8" s="114" t="s">
        <v>70</v>
      </c>
      <c r="D8" s="95">
        <f>ASSUMPTIONS!C32</f>
        <v>13333333.333333334</v>
      </c>
    </row>
    <row r="9" spans="1:33" x14ac:dyDescent="0.3">
      <c r="B9" s="114" t="s">
        <v>71</v>
      </c>
      <c r="D9" s="95">
        <f>ASSUMPTIONS!C33</f>
        <v>11333333.333333334</v>
      </c>
    </row>
    <row r="10" spans="1:33" x14ac:dyDescent="0.3">
      <c r="B10" s="114" t="s">
        <v>72</v>
      </c>
      <c r="D10" s="102">
        <f>ASSUMPTIONS!C34</f>
        <v>0.85</v>
      </c>
    </row>
    <row r="13" spans="1:33" x14ac:dyDescent="0.3">
      <c r="B13" s="117" t="s">
        <v>234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 spans="1:3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33" x14ac:dyDescent="0.3">
      <c r="B15" s="5" t="s">
        <v>235</v>
      </c>
      <c r="C15" s="42">
        <v>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3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B17" s="31" t="s">
        <v>236</v>
      </c>
      <c r="C17" s="32" t="s">
        <v>237</v>
      </c>
      <c r="D17" s="32" t="s">
        <v>238</v>
      </c>
      <c r="E17" s="32" t="s">
        <v>239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B18" s="38">
        <v>25000000</v>
      </c>
      <c r="C18" s="39">
        <f>B18*$D$7</f>
        <v>3750000</v>
      </c>
      <c r="D18" s="103">
        <f>C18/ASSUMPTIONS!$C$30</f>
        <v>1.875</v>
      </c>
      <c r="E18" s="40">
        <f>(D18)^(1/$C$15)-1</f>
        <v>0.23310603716523493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B19" s="38">
        <v>50000000</v>
      </c>
      <c r="C19" s="39">
        <f t="shared" ref="C19:C21" si="0">B19*$D$7</f>
        <v>7500000</v>
      </c>
      <c r="D19" s="103">
        <f>C19/ASSUMPTIONS!$C$30</f>
        <v>3.75</v>
      </c>
      <c r="E19" s="40">
        <f t="shared" ref="E19:E21" si="1">(D19)^(1/$C$15)-1</f>
        <v>0.55361625297692929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B20" s="38">
        <v>100000000</v>
      </c>
      <c r="C20" s="39">
        <f t="shared" si="0"/>
        <v>15000000</v>
      </c>
      <c r="D20" s="103">
        <f>C20/ASSUMPTIONS!$C$30</f>
        <v>7.5</v>
      </c>
      <c r="E20" s="40">
        <f t="shared" si="1"/>
        <v>0.95743382058443172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B21" s="38">
        <v>250000000</v>
      </c>
      <c r="C21" s="39">
        <f t="shared" si="0"/>
        <v>37500000</v>
      </c>
      <c r="D21" s="103">
        <f>C21/ASSUMPTIONS!$C$30</f>
        <v>18.75</v>
      </c>
      <c r="E21" s="40">
        <f t="shared" si="1"/>
        <v>1.6566464229565274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B23" s="120"/>
      <c r="C23" s="120"/>
      <c r="D23" s="120"/>
      <c r="E23" s="120"/>
      <c r="F23" s="120"/>
      <c r="G23" s="120"/>
      <c r="H23" s="12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B24" s="120"/>
      <c r="C24" s="120"/>
      <c r="D24" s="120"/>
      <c r="E24" s="120"/>
      <c r="F24" s="120"/>
      <c r="G24" s="120"/>
      <c r="H24" s="12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7" spans="1:28" s="50" customFormat="1" x14ac:dyDescent="0.3">
      <c r="A27" s="108"/>
      <c r="B27" s="110" t="s">
        <v>240</v>
      </c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1:28" x14ac:dyDescent="0.3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1:28" x14ac:dyDescent="0.3">
      <c r="A29" s="106"/>
      <c r="B29" s="31" t="s">
        <v>241</v>
      </c>
      <c r="C29" s="32" t="s">
        <v>242</v>
      </c>
      <c r="D29" s="32" t="s">
        <v>243</v>
      </c>
      <c r="E29" s="32" t="s">
        <v>244</v>
      </c>
      <c r="F29" s="32" t="s">
        <v>245</v>
      </c>
      <c r="G29" s="32" t="s">
        <v>237</v>
      </c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 spans="1:28" x14ac:dyDescent="0.3">
      <c r="A30" s="107"/>
      <c r="B30" s="6" t="s">
        <v>246</v>
      </c>
      <c r="C30" s="104">
        <f>ASSUMPTIONS!C80</f>
        <v>8</v>
      </c>
      <c r="D30" s="86">
        <f>'MONTHLY P&amp;L'!E37</f>
        <v>6306407.3418555027</v>
      </c>
      <c r="E30" s="39">
        <f>C30*D30</f>
        <v>50451258.734844021</v>
      </c>
      <c r="F30" s="86">
        <f>E30+'CFS &amp; SOFP'!$AB$28</f>
        <v>49373042.78929767</v>
      </c>
      <c r="G30" s="39">
        <f>F30*$D$7</f>
        <v>7405956.4183946503</v>
      </c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spans="1:28" x14ac:dyDescent="0.3">
      <c r="A31" s="107"/>
      <c r="B31" s="6" t="s">
        <v>247</v>
      </c>
      <c r="C31" s="104">
        <f>ASSUMPTIONS!C81</f>
        <v>6</v>
      </c>
      <c r="D31" s="86">
        <f>'MONTHLY P&amp;L'!E37</f>
        <v>6306407.3418555027</v>
      </c>
      <c r="E31" s="39">
        <f t="shared" ref="E31:E32" si="2">C31*D31</f>
        <v>37838444.051133014</v>
      </c>
      <c r="F31" s="86">
        <f>E31+'CFS &amp; SOFP'!$AB$28</f>
        <v>36760228.105586663</v>
      </c>
      <c r="G31" s="39">
        <f t="shared" ref="G31:G32" si="3">F31*$D$7</f>
        <v>5514034.2158379992</v>
      </c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1:28" x14ac:dyDescent="0.3">
      <c r="A32" s="107"/>
      <c r="B32" s="6" t="s">
        <v>248</v>
      </c>
      <c r="C32" s="104">
        <f>ASSUMPTIONS!C82</f>
        <v>12</v>
      </c>
      <c r="D32" s="86">
        <f>'MONTHLY P&amp;L'!E37</f>
        <v>6306407.3418555027</v>
      </c>
      <c r="E32" s="39">
        <f t="shared" si="2"/>
        <v>75676888.102266029</v>
      </c>
      <c r="F32" s="86">
        <f>E32+'CFS &amp; SOFP'!$AB$28</f>
        <v>74598672.15671967</v>
      </c>
      <c r="G32" s="39">
        <f t="shared" si="3"/>
        <v>11189800.82350795</v>
      </c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</sheetData>
  <mergeCells count="2">
    <mergeCell ref="B13:AB13"/>
    <mergeCell ref="B23:H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054B-C613-4E49-B5DB-E9ACD4C737CB}">
  <dimension ref="A1:AB23"/>
  <sheetViews>
    <sheetView showGridLines="0" workbookViewId="0">
      <selection activeCell="G27" sqref="G27"/>
    </sheetView>
  </sheetViews>
  <sheetFormatPr defaultRowHeight="15.6" x14ac:dyDescent="0.3"/>
  <cols>
    <col min="1" max="1" width="2.69921875" customWidth="1"/>
    <col min="3" max="3" width="19.296875" bestFit="1" customWidth="1"/>
    <col min="5" max="15" width="13.8984375" bestFit="1" customWidth="1"/>
    <col min="16" max="26" width="12.3984375" bestFit="1" customWidth="1"/>
    <col min="27" max="28" width="13.09765625" bestFit="1" customWidth="1"/>
  </cols>
  <sheetData>
    <row r="1" spans="1:19" x14ac:dyDescent="0.3">
      <c r="A1" s="3"/>
      <c r="B1" s="3"/>
      <c r="C1" s="3"/>
    </row>
    <row r="2" spans="1:19" ht="17.399999999999999" x14ac:dyDescent="0.3">
      <c r="A2" s="47" t="s">
        <v>249</v>
      </c>
      <c r="B2" s="3"/>
      <c r="C2" s="3"/>
    </row>
    <row r="3" spans="1:19" x14ac:dyDescent="0.3">
      <c r="A3" s="3"/>
      <c r="B3" s="3"/>
      <c r="C3" s="3"/>
    </row>
    <row r="4" spans="1:19" x14ac:dyDescent="0.3">
      <c r="C4" s="111" t="str">
        <f>ASSUMPTIONS!C6</f>
        <v>Base</v>
      </c>
    </row>
    <row r="6" spans="1:19" s="50" customFormat="1" x14ac:dyDescent="0.3">
      <c r="A6"/>
      <c r="C6" s="77" t="s">
        <v>250</v>
      </c>
    </row>
    <row r="7" spans="1:19" x14ac:dyDescent="0.3">
      <c r="C7" s="5" t="s">
        <v>251</v>
      </c>
      <c r="F7" s="67">
        <f>'MONTHLY P&amp;L'!AA7</f>
        <v>368863.05494721862</v>
      </c>
      <c r="I7" s="5" t="s">
        <v>254</v>
      </c>
      <c r="M7">
        <f>'MONTHLY P&amp;L'!AB7</f>
        <v>6306407.3418555027</v>
      </c>
      <c r="O7" s="5" t="s">
        <v>257</v>
      </c>
      <c r="S7" s="101">
        <f>'MONTHLY P&amp;L'!AA28</f>
        <v>-0.17035098751681663</v>
      </c>
    </row>
    <row r="8" spans="1:19" x14ac:dyDescent="0.3">
      <c r="C8" s="3"/>
      <c r="I8" s="3"/>
      <c r="O8" s="3"/>
    </row>
    <row r="9" spans="1:19" x14ac:dyDescent="0.3">
      <c r="C9" s="5" t="s">
        <v>252</v>
      </c>
      <c r="F9" s="54">
        <f>'MONTHLY P&amp;L'!AA11</f>
        <v>0.63177618463084351</v>
      </c>
      <c r="I9" s="5" t="s">
        <v>255</v>
      </c>
      <c r="M9">
        <f>'CFS &amp; SOFP'!AA24</f>
        <v>-285653.67602860648</v>
      </c>
      <c r="O9" s="5" t="s">
        <v>258</v>
      </c>
      <c r="S9" s="62">
        <f>'RUNWAY BURN &amp; BREAKEVEN'!D13</f>
        <v>38.435635176460863</v>
      </c>
    </row>
    <row r="10" spans="1:19" x14ac:dyDescent="0.3">
      <c r="C10" s="3"/>
      <c r="I10" s="3"/>
      <c r="O10" s="3"/>
    </row>
    <row r="11" spans="1:19" x14ac:dyDescent="0.3">
      <c r="C11" s="5" t="s">
        <v>253</v>
      </c>
      <c r="F11" t="str">
        <f>'RUNWAY BURN &amp; BREAKEVEN'!AA31</f>
        <v>Below BE</v>
      </c>
      <c r="I11" s="5" t="s">
        <v>256</v>
      </c>
      <c r="M11">
        <f>'CAP TABLE &amp; INVESTOR RETURNS'!D20</f>
        <v>7.5</v>
      </c>
      <c r="O11" s="5" t="s">
        <v>259</v>
      </c>
      <c r="S11" s="101">
        <f>'CAP TABLE &amp; INVESTOR RETURNS'!E20</f>
        <v>0.95743382058443172</v>
      </c>
    </row>
    <row r="16" spans="1:19" s="49" customFormat="1" x14ac:dyDescent="0.3">
      <c r="A16"/>
      <c r="B16" s="77" t="s">
        <v>261</v>
      </c>
    </row>
    <row r="17" spans="3:28" x14ac:dyDescent="0.3">
      <c r="C17" s="112" t="s">
        <v>260</v>
      </c>
      <c r="E17">
        <v>1</v>
      </c>
      <c r="F17">
        <f>E17+1</f>
        <v>2</v>
      </c>
      <c r="G17">
        <f t="shared" ref="G17:AB17" si="0">F17+1</f>
        <v>3</v>
      </c>
      <c r="H17">
        <f t="shared" si="0"/>
        <v>4</v>
      </c>
      <c r="I17">
        <f t="shared" si="0"/>
        <v>5</v>
      </c>
      <c r="J17">
        <f t="shared" si="0"/>
        <v>6</v>
      </c>
      <c r="K17">
        <f t="shared" si="0"/>
        <v>7</v>
      </c>
      <c r="L17">
        <f t="shared" si="0"/>
        <v>8</v>
      </c>
      <c r="M17">
        <f t="shared" si="0"/>
        <v>9</v>
      </c>
      <c r="N17">
        <f t="shared" si="0"/>
        <v>10</v>
      </c>
      <c r="O17">
        <f t="shared" si="0"/>
        <v>11</v>
      </c>
      <c r="P17">
        <f t="shared" si="0"/>
        <v>12</v>
      </c>
      <c r="Q17">
        <f t="shared" si="0"/>
        <v>13</v>
      </c>
      <c r="R17">
        <f t="shared" si="0"/>
        <v>14</v>
      </c>
      <c r="S17">
        <f t="shared" si="0"/>
        <v>15</v>
      </c>
      <c r="T17">
        <f t="shared" si="0"/>
        <v>16</v>
      </c>
      <c r="U17">
        <f t="shared" si="0"/>
        <v>17</v>
      </c>
      <c r="V17">
        <f t="shared" si="0"/>
        <v>18</v>
      </c>
      <c r="W17">
        <f t="shared" si="0"/>
        <v>19</v>
      </c>
      <c r="X17">
        <f t="shared" si="0"/>
        <v>20</v>
      </c>
      <c r="Y17">
        <f t="shared" si="0"/>
        <v>21</v>
      </c>
      <c r="Z17">
        <f t="shared" si="0"/>
        <v>22</v>
      </c>
      <c r="AA17">
        <f t="shared" si="0"/>
        <v>23</v>
      </c>
      <c r="AB17">
        <f t="shared" si="0"/>
        <v>24</v>
      </c>
    </row>
    <row r="19" spans="3:28" x14ac:dyDescent="0.3">
      <c r="C19" s="6" t="s">
        <v>180</v>
      </c>
      <c r="E19" s="113">
        <f>'MONTHLY P&amp;L'!D7</f>
        <v>110200</v>
      </c>
      <c r="F19" s="113">
        <f>'MONTHLY P&amp;L'!E7</f>
        <v>116280.46876247364</v>
      </c>
      <c r="G19" s="113">
        <f>'MONTHLY P&amp;L'!F7</f>
        <v>122680.56271096831</v>
      </c>
      <c r="H19" s="113">
        <f>'MONTHLY P&amp;L'!G7</f>
        <v>129416.65406663372</v>
      </c>
      <c r="I19" s="113">
        <f>'MONTHLY P&amp;L'!H7</f>
        <v>136505.94184142718</v>
      </c>
      <c r="J19" s="113">
        <f>'MONTHLY P&amp;L'!I7</f>
        <v>143966.49326642751</v>
      </c>
      <c r="K19" s="113">
        <f>'MONTHLY P&amp;L'!J7</f>
        <v>151817.28728735296</v>
      </c>
      <c r="L19" s="113">
        <f>'MONTHLY P&amp;L'!K7</f>
        <v>160078.26023020761</v>
      </c>
      <c r="M19" s="113">
        <f>'MONTHLY P&amp;L'!L7</f>
        <v>168770.35374509983</v>
      </c>
      <c r="N19" s="113">
        <f>'MONTHLY P&amp;L'!M7</f>
        <v>177915.5651416496</v>
      </c>
      <c r="O19" s="113">
        <f>'MONTHLY P&amp;L'!N7</f>
        <v>187537.00023504111</v>
      </c>
      <c r="P19" s="113">
        <f>'MONTHLY P&amp;L'!O7</f>
        <v>197658.9288276977</v>
      </c>
      <c r="Q19" s="113">
        <f>'MONTHLY P&amp;L'!P7</f>
        <v>208306.84295777077</v>
      </c>
      <c r="R19" s="113">
        <f>'MONTHLY P&amp;L'!Q7</f>
        <v>219507.51805215768</v>
      </c>
      <c r="S19" s="113">
        <f>'MONTHLY P&amp;L'!R7</f>
        <v>231289.07712861081</v>
      </c>
      <c r="T19" s="113">
        <f>'MONTHLY P&amp;L'!S7</f>
        <v>243681.05819868893</v>
      </c>
      <c r="U19" s="113">
        <f>'MONTHLY P&amp;L'!T7</f>
        <v>256714.48503084513</v>
      </c>
      <c r="V19" s="113">
        <f>'MONTHLY P&amp;L'!U7</f>
        <v>270421.94144086743</v>
      </c>
      <c r="W19" s="113">
        <f>'MONTHLY P&amp;L'!V7</f>
        <v>284837.64928519982</v>
      </c>
      <c r="X19" s="113">
        <f>'MONTHLY P&amp;L'!W7</f>
        <v>299997.55034139933</v>
      </c>
      <c r="Y19" s="113">
        <f>'MONTHLY P&amp;L'!X7</f>
        <v>315939.39226914343</v>
      </c>
      <c r="Z19" s="113">
        <f>'MONTHLY P&amp;L'!Y7</f>
        <v>332702.81885481841</v>
      </c>
      <c r="AA19" s="113">
        <f>'MONTHLY P&amp;L'!Z7</f>
        <v>350329.46475281072</v>
      </c>
      <c r="AB19" s="113">
        <f>'MONTHLY P&amp;L'!AA7</f>
        <v>368863.05494721862</v>
      </c>
    </row>
    <row r="20" spans="3:28" x14ac:dyDescent="0.3">
      <c r="C20" s="6" t="s">
        <v>173</v>
      </c>
      <c r="E20" s="56">
        <f>'MONTHLY P&amp;L'!D27</f>
        <v>-48396</v>
      </c>
      <c r="F20" s="56">
        <f>'MONTHLY P&amp;L'!E27</f>
        <v>-51639.836527089748</v>
      </c>
      <c r="G20" s="56">
        <f>'MONTHLY P&amp;L'!F27</f>
        <v>-54739.892354291529</v>
      </c>
      <c r="H20" s="56">
        <f>'MONTHLY P&amp;L'!G27</f>
        <v>-57686.081839004328</v>
      </c>
      <c r="I20" s="56">
        <f>'MONTHLY P&amp;L'!H27</f>
        <v>-60467.775346686845</v>
      </c>
      <c r="J20" s="56">
        <f>'MONTHLY P&amp;L'!I27</f>
        <v>-63073.771096696713</v>
      </c>
      <c r="K20" s="56">
        <f>'MONTHLY P&amp;L'!J27</f>
        <v>-65492.265567087801</v>
      </c>
      <c r="L20" s="56">
        <f>'MONTHLY P&amp;L'!K27</f>
        <v>-67710.822384968371</v>
      </c>
      <c r="M20" s="56">
        <f>'MONTHLY P&amp;L'!L27</f>
        <v>-69716.339625294378</v>
      </c>
      <c r="N20" s="56">
        <f>'MONTHLY P&amp;L'!M27</f>
        <v>-71495.01543705599</v>
      </c>
      <c r="O20" s="56">
        <f>'MONTHLY P&amp;L'!N27</f>
        <v>-73032.311911701894</v>
      </c>
      <c r="P20" s="56">
        <f>'MONTHLY P&amp;L'!O27</f>
        <v>-74312.91710432223</v>
      </c>
      <c r="Q20" s="56">
        <f>'MONTHLY P&amp;L'!P27</f>
        <v>-75320.705113569056</v>
      </c>
      <c r="R20" s="56">
        <f>'MONTHLY P&amp;L'!Q27</f>
        <v>-76038.694121521461</v>
      </c>
      <c r="S20" s="56">
        <f>'MONTHLY P&amp;L'!R27</f>
        <v>-76449.002289689437</v>
      </c>
      <c r="T20" s="56">
        <f>'MONTHLY P&amp;L'!S27</f>
        <v>-76532.801402081153</v>
      </c>
      <c r="U20" s="56">
        <f>'MONTHLY P&amp;L'!T27</f>
        <v>-76270.268140726374</v>
      </c>
      <c r="V20" s="56">
        <f>'MONTHLY P&amp;L'!U27</f>
        <v>-75640.532873232296</v>
      </c>
      <c r="W20" s="56">
        <f>'MONTHLY P&amp;L'!V27</f>
        <v>-74621.625825841184</v>
      </c>
      <c r="X20" s="56">
        <f>'MONTHLY P&amp;L'!W27</f>
        <v>-73190.420509037911</v>
      </c>
      <c r="Y20" s="56">
        <f>'MONTHLY P&amp;L'!X27</f>
        <v>-71322.57425601728</v>
      </c>
      <c r="Z20" s="56">
        <f>'MONTHLY P&amp;L'!Y27</f>
        <v>-68992.465727230883</v>
      </c>
      <c r="AA20" s="56">
        <f>'MONTHLY P&amp;L'!Z27</f>
        <v>-66173.129226796504</v>
      </c>
      <c r="AB20" s="56">
        <f>'MONTHLY P&amp;L'!AA27</f>
        <v>-62836.185668728489</v>
      </c>
    </row>
    <row r="21" spans="3:28" x14ac:dyDescent="0.3">
      <c r="C21" s="6" t="s">
        <v>197</v>
      </c>
      <c r="E21" s="56">
        <f>'CFS &amp; SOFP'!D28</f>
        <v>1860131</v>
      </c>
      <c r="F21" s="56">
        <f>'CFS &amp; SOFP'!E28</f>
        <v>1789179.0270306515</v>
      </c>
      <c r="G21" s="56">
        <f>'CFS &amp; SOFP'!F28</f>
        <v>1714767.0206423067</v>
      </c>
      <c r="H21" s="56">
        <f>'CFS &amp; SOFP'!G28</f>
        <v>1637036.552571821</v>
      </c>
      <c r="I21" s="56">
        <f>'CFS &amp; SOFP'!H28</f>
        <v>1556139.2664417697</v>
      </c>
      <c r="J21" s="56">
        <f>'CFS &amp; SOFP'!I28</f>
        <v>1472237.4228283558</v>
      </c>
      <c r="K21" s="56">
        <f>'CFS &amp; SOFP'!J28</f>
        <v>1385504.4725945599</v>
      </c>
      <c r="L21" s="56">
        <f>'CFS &amp; SOFP'!K28</f>
        <v>1296125.6599375601</v>
      </c>
      <c r="M21" s="56">
        <f>'CFS &amp; SOFP'!L28</f>
        <v>1204298.656673369</v>
      </c>
      <c r="N21" s="56">
        <f>'CFS &amp; SOFP'!M28</f>
        <v>1110234.2293592938</v>
      </c>
      <c r="O21" s="56">
        <f>'CFS &amp; SOFP'!N28</f>
        <v>1014156.9409364453</v>
      </c>
      <c r="P21" s="56">
        <f>'CFS &amp; SOFP'!O28</f>
        <v>916305.88866028376</v>
      </c>
      <c r="Q21" s="56">
        <f>'CFS &amp; SOFP'!P28</f>
        <v>816935.48017731775</v>
      </c>
      <c r="R21" s="56">
        <f>'CFS &amp; SOFP'!Q28</f>
        <v>716316.24970076862</v>
      </c>
      <c r="S21" s="56">
        <f>'CFS &amp; SOFP'!R28</f>
        <v>614735.71633753809</v>
      </c>
      <c r="T21" s="56">
        <f>'CFS &amp; SOFP'!S28</f>
        <v>512499.28672338452</v>
      </c>
      <c r="U21" s="56">
        <f>'CFS &amp; SOFP'!T28</f>
        <v>409931.20423310238</v>
      </c>
      <c r="V21" s="56">
        <f>'CFS &amp; SOFP'!U28</f>
        <v>307375.54714796692</v>
      </c>
      <c r="W21" s="56">
        <f>'CFS &amp; SOFP'!V28</f>
        <v>205197.27828404022</v>
      </c>
      <c r="X21" s="56">
        <f>'CFS &amp; SOFP'!W28</f>
        <v>103783.34871243298</v>
      </c>
      <c r="Y21" s="56">
        <f>'CFS &amp; SOFP'!X28</f>
        <v>3543.8583365851518</v>
      </c>
      <c r="Z21" s="56">
        <f>'CFS &amp; SOFP'!Y28</f>
        <v>-95086.72376759474</v>
      </c>
      <c r="AA21" s="56">
        <f>'CFS &amp; SOFP'!Z28</f>
        <v>-191648.27619497041</v>
      </c>
      <c r="AB21" s="56">
        <f>'CFS &amp; SOFP'!AA28</f>
        <v>-285653.67602860648</v>
      </c>
    </row>
    <row r="22" spans="3:28" x14ac:dyDescent="0.3">
      <c r="C22" s="6" t="s">
        <v>262</v>
      </c>
      <c r="E22" s="64">
        <f>'CUSTOMER ACQUISITION &amp; REVENUE'!D9</f>
        <v>3000</v>
      </c>
      <c r="F22" s="64">
        <f>'CUSTOMER ACQUISITION &amp; REVENUE'!E9</f>
        <v>3103.0982493957499</v>
      </c>
      <c r="G22" s="64">
        <f>'CUSTOMER ACQUISITION &amp; REVENUE'!F9</f>
        <v>3209.7395818009891</v>
      </c>
      <c r="H22" s="64">
        <f>'CUSTOMER ACQUISITION &amp; REVENUE'!G9</f>
        <v>3320.0457591009649</v>
      </c>
      <c r="I22" s="64">
        <f>'CUSTOMER ACQUISITION &amp; REVENUE'!H9</f>
        <v>3434.1427276599957</v>
      </c>
      <c r="J22" s="64">
        <f>'CUSTOMER ACQUISITION &amp; REVENUE'!I9</f>
        <v>3552.1607621256258</v>
      </c>
      <c r="K22" s="64">
        <f>'CUSTOMER ACQUISITION &amp; REVENUE'!J9</f>
        <v>3674.2346141747671</v>
      </c>
      <c r="L22" s="64">
        <f>'CUSTOMER ACQUISITION &amp; REVENUE'!K9</f>
        <v>3800.5036663716628</v>
      </c>
      <c r="M22" s="64">
        <f>'CUSTOMER ACQUISITION &amp; REVENUE'!L9</f>
        <v>3931.112091313345</v>
      </c>
      <c r="N22" s="64">
        <f>'CUSTOMER ACQUISITION &amp; REVENUE'!M9</f>
        <v>4066.2090162443019</v>
      </c>
      <c r="O22" s="64">
        <f>'CUSTOMER ACQUISITION &amp; REVENUE'!N9</f>
        <v>4205.9486933283024</v>
      </c>
      <c r="P22" s="64">
        <f>'CUSTOMER ACQUISITION &amp; REVENUE'!O9</f>
        <v>4350.490675771799</v>
      </c>
      <c r="Q22" s="64">
        <f>'CUSTOMER ACQUISITION &amp; REVENUE'!P9</f>
        <v>4500.0000000000009</v>
      </c>
      <c r="R22" s="64">
        <f>'CUSTOMER ACQUISITION &amp; REVENUE'!Q9</f>
        <v>4654.6473740936253</v>
      </c>
      <c r="S22" s="64">
        <f>'CUSTOMER ACQUISITION &amp; REVENUE'!R9</f>
        <v>4814.6093727014841</v>
      </c>
      <c r="T22" s="64">
        <f>'CUSTOMER ACQUISITION &amp; REVENUE'!S9</f>
        <v>4980.0686386514481</v>
      </c>
      <c r="U22" s="64">
        <f>'CUSTOMER ACQUISITION &amp; REVENUE'!T9</f>
        <v>5151.2140914899946</v>
      </c>
      <c r="V22" s="64">
        <f>'CUSTOMER ACQUISITION &amp; REVENUE'!U9</f>
        <v>5328.2411431884402</v>
      </c>
      <c r="W22" s="64">
        <f>'CUSTOMER ACQUISITION &amp; REVENUE'!V9</f>
        <v>5511.3519212621522</v>
      </c>
      <c r="X22" s="64">
        <f>'CUSTOMER ACQUISITION &amp; REVENUE'!W9</f>
        <v>5700.7554995574956</v>
      </c>
      <c r="Y22" s="64">
        <f>'CUSTOMER ACQUISITION &amp; REVENUE'!X9</f>
        <v>5896.6681369700191</v>
      </c>
      <c r="Z22" s="64">
        <f>'CUSTOMER ACQUISITION &amp; REVENUE'!Y9</f>
        <v>6099.3135243664547</v>
      </c>
      <c r="AA22" s="64">
        <f>'CUSTOMER ACQUISITION &amp; REVENUE'!Z9</f>
        <v>6308.9230399924554</v>
      </c>
      <c r="AB22" s="64">
        <f>'CUSTOMER ACQUISITION &amp; REVENUE'!AA9</f>
        <v>6525.7360136576999</v>
      </c>
    </row>
    <row r="23" spans="3:28" x14ac:dyDescent="0.3">
      <c r="C23" s="6" t="s">
        <v>263</v>
      </c>
      <c r="E23" s="64">
        <f>'CUSTOMER ACQUISITION &amp; REVENUE'!D10</f>
        <v>2000</v>
      </c>
      <c r="F23" s="64">
        <f>'CUSTOMER ACQUISITION &amp; REVENUE'!E10</f>
        <v>2089.3518161429834</v>
      </c>
      <c r="G23" s="64">
        <f>'CUSTOMER ACQUISITION &amp; REVENUE'!F10</f>
        <v>2182.6955058099911</v>
      </c>
      <c r="H23" s="64">
        <f>'CUSTOMER ACQUISITION &amp; REVENUE'!G10</f>
        <v>2280.2094095756161</v>
      </c>
      <c r="I23" s="64">
        <f>'CUSTOMER ACQUISITION &amp; REVENUE'!H10</f>
        <v>2382.0798355415664</v>
      </c>
      <c r="J23" s="64">
        <f>'CUSTOMER ACQUISITION &amp; REVENUE'!I10</f>
        <v>2488.5014152931753</v>
      </c>
      <c r="K23" s="64">
        <f>'CUSTOMER ACQUISITION &amp; REVENUE'!J10</f>
        <v>2599.6774757585899</v>
      </c>
      <c r="L23" s="64">
        <f>'CUSTOMER ACQUISITION &amp; REVENUE'!K10</f>
        <v>2715.820427681108</v>
      </c>
      <c r="M23" s="64">
        <f>'CUSTOMER ACQUISITION &amp; REVENUE'!L10</f>
        <v>2837.1521714468681</v>
      </c>
      <c r="N23" s="64">
        <f>'CUSTOMER ACQUISITION &amp; REVENUE'!M10</f>
        <v>2963.904521043261</v>
      </c>
      <c r="O23" s="64">
        <f>'CUSTOMER ACQUISITION &amp; REVENUE'!N10</f>
        <v>3096.319646958068</v>
      </c>
      <c r="P23" s="64">
        <f>'CUSTOMER ACQUISITION &amp; REVENUE'!O10</f>
        <v>3234.65053886552</v>
      </c>
      <c r="Q23" s="64">
        <f>'CUSTOMER ACQUISITION &amp; REVENUE'!P10</f>
        <v>3379.1614889832767</v>
      </c>
      <c r="R23" s="64">
        <f>'CUSTOMER ACQUISITION &amp; REVENUE'!Q10</f>
        <v>3530.1285970238182</v>
      </c>
      <c r="S23" s="64">
        <f>'CUSTOMER ACQUISITION &amp; REVENUE'!R10</f>
        <v>3687.8402977049977</v>
      </c>
      <c r="T23" s="64">
        <f>'CUSTOMER ACQUISITION &amp; REVENUE'!S10</f>
        <v>3852.5979118276082</v>
      </c>
      <c r="U23" s="64">
        <f>'CUSTOMER ACQUISITION &amp; REVENUE'!T10</f>
        <v>4024.7162219728389</v>
      </c>
      <c r="V23" s="64">
        <f>'CUSTOMER ACQUISITION &amp; REVENUE'!U10</f>
        <v>4204.5240739195388</v>
      </c>
      <c r="W23" s="64">
        <f>'CUSTOMER ACQUISITION &amp; REVENUE'!V10</f>
        <v>4392.3650049303415</v>
      </c>
      <c r="X23" s="64">
        <f>'CUSTOMER ACQUISITION &amp; REVENUE'!W10</f>
        <v>4588.5979001070464</v>
      </c>
      <c r="Y23" s="64">
        <f>'CUSTOMER ACQUISITION &amp; REVENUE'!X10</f>
        <v>4793.5976780692681</v>
      </c>
      <c r="Z23" s="64">
        <f>'CUSTOMER ACQUISITION &amp; REVENUE'!Y10</f>
        <v>5007.7560072664064</v>
      </c>
      <c r="AA23" s="64">
        <f>'CUSTOMER ACQUISITION &amp; REVENUE'!Z10</f>
        <v>5231.4820542915004</v>
      </c>
      <c r="AB23" s="64">
        <f>'CUSTOMER ACQUISITION &amp; REVENUE'!AA10</f>
        <v>5465.2032656266856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COMPANY OVERVIEW</vt:lpstr>
      <vt:lpstr>ASSUMPTIONS</vt:lpstr>
      <vt:lpstr>CUSTOMER ACQUISITION &amp; REVENUE</vt:lpstr>
      <vt:lpstr>COST BUILD</vt:lpstr>
      <vt:lpstr>MONTHLY P&amp;L</vt:lpstr>
      <vt:lpstr>CFS &amp; SOFP</vt:lpstr>
      <vt:lpstr>RUNWAY BURN &amp; BREAKEVEN</vt:lpstr>
      <vt:lpstr>CAP TABLE &amp; INVESTOR RETURNS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Opemipo Williams</dc:creator>
  <cp:lastModifiedBy>Opemipo Williams</cp:lastModifiedBy>
  <dcterms:created xsi:type="dcterms:W3CDTF">2026-08-28T16:36:32Z</dcterms:created>
  <dcterms:modified xsi:type="dcterms:W3CDTF">2026-09-26T07:45:34Z</dcterms:modified>
</cp:coreProperties>
</file>